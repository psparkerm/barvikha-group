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25" windowWidth="18855" windowHeight="8640" activeTab="2"/>
  </bookViews>
  <sheets>
    <sheet name="Меню" sheetId="1" r:id="rId1"/>
    <sheet name="ПП" sheetId="2" r:id="rId2"/>
    <sheet name="Сезон весна" sheetId="6" r:id="rId3"/>
  </sheets>
  <definedNames>
    <definedName name="_xlnm._FilterDatabase" localSheetId="0" hidden="1">Меню!$A$4:$H$439</definedName>
    <definedName name="_xlnm._FilterDatabase" localSheetId="1" hidden="1">ПП!$A$4:$I$49</definedName>
  </definedNames>
  <calcPr calcId="145621"/>
</workbook>
</file>

<file path=xl/calcChain.xml><?xml version="1.0" encoding="utf-8"?>
<calcChain xmlns="http://schemas.openxmlformats.org/spreadsheetml/2006/main">
  <c r="F153" i="6" l="1"/>
  <c r="E153" i="6"/>
  <c r="D153" i="6"/>
  <c r="F176" i="6" l="1"/>
  <c r="G176" i="6" s="1"/>
  <c r="E176" i="6"/>
  <c r="D176" i="6"/>
  <c r="C176" i="6"/>
  <c r="F167" i="6"/>
  <c r="G167" i="6" s="1"/>
  <c r="E167" i="6"/>
  <c r="D167" i="6"/>
  <c r="C167" i="6"/>
  <c r="G153" i="6"/>
  <c r="C153" i="6"/>
  <c r="F125" i="6" l="1"/>
  <c r="G125" i="6" s="1"/>
  <c r="E125" i="6"/>
  <c r="D125" i="6"/>
  <c r="C125" i="6"/>
  <c r="F117" i="6"/>
  <c r="G117" i="6" s="1"/>
  <c r="E117" i="6"/>
  <c r="D117" i="6"/>
  <c r="C117" i="6"/>
  <c r="F101" i="6"/>
  <c r="G101" i="6" s="1"/>
  <c r="E101" i="6"/>
  <c r="D101" i="6"/>
  <c r="C101" i="6"/>
  <c r="F87" i="6"/>
  <c r="G87" i="6" s="1"/>
  <c r="E87" i="6"/>
  <c r="D87" i="6"/>
  <c r="C87" i="6"/>
  <c r="F76" i="6"/>
  <c r="G76" i="6" s="1"/>
  <c r="E76" i="6"/>
  <c r="D76" i="6"/>
  <c r="C76" i="6"/>
  <c r="F66" i="6"/>
  <c r="G66" i="6" s="1"/>
  <c r="E66" i="6"/>
  <c r="D66" i="6"/>
  <c r="C66" i="6"/>
  <c r="F54" i="6"/>
  <c r="G54" i="6" s="1"/>
  <c r="E54" i="6"/>
  <c r="D54" i="6"/>
  <c r="C54" i="6"/>
  <c r="F46" i="6"/>
  <c r="G46" i="6" s="1"/>
  <c r="E46" i="6"/>
  <c r="D46" i="6"/>
  <c r="C46" i="6"/>
  <c r="F40" i="6"/>
  <c r="G40" i="6" s="1"/>
  <c r="E40" i="6"/>
  <c r="D40" i="6"/>
  <c r="C40" i="6"/>
  <c r="F32" i="6"/>
  <c r="G32" i="6" s="1"/>
  <c r="E32" i="6"/>
  <c r="D32" i="6"/>
  <c r="C32" i="6"/>
  <c r="F28" i="6"/>
  <c r="G28" i="6" s="1"/>
  <c r="E28" i="6"/>
  <c r="D28" i="6"/>
  <c r="C28" i="6"/>
  <c r="F22" i="6"/>
  <c r="G22" i="6" s="1"/>
  <c r="E22" i="6"/>
  <c r="D22" i="6"/>
  <c r="C22" i="6"/>
  <c r="F15" i="6"/>
  <c r="G15" i="6" s="1"/>
  <c r="E15" i="6"/>
  <c r="D15" i="6"/>
  <c r="C15" i="6"/>
  <c r="F2" i="6"/>
  <c r="G2" i="6" s="1"/>
  <c r="E2" i="6"/>
  <c r="D2" i="6"/>
  <c r="C2" i="6"/>
  <c r="F450" i="1" l="1"/>
  <c r="G450" i="1" s="1"/>
  <c r="E450" i="1"/>
  <c r="D450" i="1"/>
  <c r="C450" i="1"/>
  <c r="F274" i="1"/>
  <c r="E274" i="1"/>
  <c r="D274" i="1"/>
  <c r="C274" i="1"/>
  <c r="B274" i="1"/>
  <c r="F569" i="1"/>
  <c r="E569" i="1"/>
  <c r="D569" i="1"/>
  <c r="C569" i="1"/>
  <c r="B569" i="1"/>
  <c r="F555" i="1"/>
  <c r="E555" i="1"/>
  <c r="D555" i="1"/>
  <c r="C555" i="1"/>
  <c r="B555" i="1"/>
  <c r="F546" i="1"/>
  <c r="E546" i="1"/>
  <c r="D546" i="1"/>
  <c r="C546" i="1"/>
  <c r="B546" i="1"/>
  <c r="F156" i="1"/>
  <c r="E156" i="1"/>
  <c r="D156" i="1"/>
  <c r="C156" i="1"/>
  <c r="B156" i="1"/>
  <c r="G555" i="1" l="1"/>
  <c r="G569" i="1"/>
  <c r="G274" i="1"/>
  <c r="G546" i="1"/>
  <c r="G156" i="1"/>
  <c r="F575" i="1" l="1"/>
  <c r="G575" i="1" s="1"/>
  <c r="E575" i="1"/>
  <c r="D575" i="1"/>
  <c r="C575" i="1"/>
  <c r="F913" i="1" l="1"/>
  <c r="G913" i="1" s="1"/>
  <c r="E913" i="1"/>
  <c r="D913" i="1"/>
  <c r="C913" i="1"/>
  <c r="F551" i="1"/>
  <c r="G551" i="1" s="1"/>
  <c r="E551" i="1"/>
  <c r="D551" i="1"/>
  <c r="C551" i="1"/>
  <c r="F58" i="2" l="1"/>
  <c r="E58" i="2"/>
  <c r="D58" i="2"/>
  <c r="C58" i="2"/>
  <c r="F57" i="2"/>
  <c r="E57" i="2"/>
  <c r="D57" i="2"/>
  <c r="C57" i="2"/>
  <c r="F55" i="2"/>
  <c r="E55" i="2"/>
  <c r="D55" i="2"/>
  <c r="C55" i="2"/>
  <c r="G53" i="2"/>
  <c r="F53" i="2"/>
  <c r="E53" i="2"/>
  <c r="D53" i="2"/>
  <c r="C53" i="2"/>
  <c r="F51" i="2"/>
  <c r="G51" i="2" s="1"/>
  <c r="E51" i="2"/>
  <c r="D51" i="2"/>
  <c r="C51" i="2"/>
  <c r="F47" i="2"/>
  <c r="G47" i="2" s="1"/>
  <c r="E47" i="2"/>
  <c r="D47" i="2"/>
  <c r="C47" i="2"/>
  <c r="F44" i="2"/>
  <c r="G44" i="2" s="1"/>
  <c r="E44" i="2"/>
  <c r="D44" i="2"/>
  <c r="C44" i="2"/>
  <c r="G41" i="2"/>
  <c r="F41" i="2"/>
  <c r="E41" i="2"/>
  <c r="D41" i="2"/>
  <c r="C41" i="2"/>
  <c r="F38" i="2"/>
  <c r="G38" i="2" s="1"/>
  <c r="E38" i="2"/>
  <c r="D38" i="2"/>
  <c r="C38" i="2"/>
  <c r="F36" i="2"/>
  <c r="G36" i="2" s="1"/>
  <c r="E36" i="2"/>
  <c r="D36" i="2"/>
  <c r="C36" i="2"/>
  <c r="F34" i="2"/>
  <c r="G34" i="2" s="1"/>
  <c r="E34" i="2"/>
  <c r="D34" i="2"/>
  <c r="C34" i="2"/>
  <c r="F29" i="2"/>
  <c r="G29" i="2" s="1"/>
  <c r="E29" i="2"/>
  <c r="D29" i="2"/>
  <c r="C29" i="2"/>
  <c r="F24" i="2"/>
  <c r="G24" i="2" s="1"/>
  <c r="E24" i="2"/>
  <c r="D24" i="2"/>
  <c r="C24" i="2"/>
  <c r="F19" i="2"/>
  <c r="G19" i="2" s="1"/>
  <c r="E19" i="2"/>
  <c r="D19" i="2"/>
  <c r="C19" i="2"/>
  <c r="G14" i="2"/>
  <c r="F14" i="2"/>
  <c r="E14" i="2"/>
  <c r="D14" i="2"/>
  <c r="C14" i="2"/>
  <c r="G12" i="2"/>
  <c r="F12" i="2"/>
  <c r="E12" i="2"/>
  <c r="D12" i="2"/>
  <c r="C12" i="2"/>
  <c r="F10" i="2"/>
  <c r="G10" i="2" s="1"/>
  <c r="E10" i="2"/>
  <c r="D10" i="2"/>
  <c r="C10" i="2"/>
  <c r="F8" i="2"/>
  <c r="G8" i="2" s="1"/>
  <c r="E8" i="2"/>
  <c r="D8" i="2"/>
  <c r="C8" i="2"/>
  <c r="F6" i="2"/>
  <c r="G6" i="2" s="1"/>
  <c r="E6" i="2"/>
  <c r="D6" i="2"/>
  <c r="C6" i="2"/>
  <c r="F4" i="2"/>
  <c r="G4" i="2" s="1"/>
  <c r="E4" i="2"/>
  <c r="D4" i="2"/>
  <c r="C4" i="2"/>
  <c r="F949" i="1"/>
  <c r="G949" i="1" s="1"/>
  <c r="E949" i="1"/>
  <c r="D949" i="1"/>
  <c r="C949" i="1"/>
  <c r="F941" i="1"/>
  <c r="G941" i="1" s="1"/>
  <c r="E941" i="1"/>
  <c r="D941" i="1"/>
  <c r="C941" i="1"/>
  <c r="F934" i="1"/>
  <c r="G934" i="1" s="1"/>
  <c r="E934" i="1"/>
  <c r="D934" i="1"/>
  <c r="C934" i="1"/>
  <c r="F927" i="1"/>
  <c r="G927" i="1" s="1"/>
  <c r="E927" i="1"/>
  <c r="D927" i="1"/>
  <c r="C927" i="1"/>
  <c r="F922" i="1"/>
  <c r="G922" i="1" s="1"/>
  <c r="E922" i="1"/>
  <c r="D922" i="1"/>
  <c r="C922" i="1"/>
  <c r="F898" i="1"/>
  <c r="G898" i="1" s="1"/>
  <c r="E898" i="1"/>
  <c r="D898" i="1"/>
  <c r="C898" i="1"/>
  <c r="F888" i="1"/>
  <c r="G888" i="1" s="1"/>
  <c r="E888" i="1"/>
  <c r="D888" i="1"/>
  <c r="C888" i="1"/>
  <c r="F876" i="1"/>
  <c r="G876" i="1" s="1"/>
  <c r="E876" i="1"/>
  <c r="D876" i="1"/>
  <c r="C876" i="1"/>
  <c r="F864" i="1"/>
  <c r="G864" i="1" s="1"/>
  <c r="E864" i="1"/>
  <c r="D864" i="1"/>
  <c r="C864" i="1"/>
  <c r="F849" i="1"/>
  <c r="G849" i="1" s="1"/>
  <c r="E849" i="1"/>
  <c r="D849" i="1"/>
  <c r="C849" i="1"/>
  <c r="F837" i="1"/>
  <c r="G837" i="1" s="1"/>
  <c r="E837" i="1"/>
  <c r="D837" i="1"/>
  <c r="C837" i="1"/>
  <c r="F825" i="1"/>
  <c r="G825" i="1" s="1"/>
  <c r="E825" i="1"/>
  <c r="D825" i="1"/>
  <c r="C825" i="1"/>
  <c r="F807" i="1"/>
  <c r="G807" i="1" s="1"/>
  <c r="E807" i="1"/>
  <c r="D807" i="1"/>
  <c r="C807" i="1"/>
  <c r="F796" i="1"/>
  <c r="G796" i="1" s="1"/>
  <c r="E796" i="1"/>
  <c r="D796" i="1"/>
  <c r="C796" i="1"/>
  <c r="F784" i="1"/>
  <c r="G784" i="1" s="1"/>
  <c r="E784" i="1"/>
  <c r="D784" i="1"/>
  <c r="C784" i="1"/>
  <c r="F773" i="1"/>
  <c r="G773" i="1" s="1"/>
  <c r="E773" i="1"/>
  <c r="D773" i="1"/>
  <c r="C773" i="1"/>
  <c r="F761" i="1"/>
  <c r="G761" i="1" s="1"/>
  <c r="E761" i="1"/>
  <c r="D761" i="1"/>
  <c r="C761" i="1"/>
  <c r="F751" i="1"/>
  <c r="G751" i="1" s="1"/>
  <c r="E751" i="1"/>
  <c r="D751" i="1"/>
  <c r="C751" i="1"/>
  <c r="F741" i="1"/>
  <c r="G741" i="1" s="1"/>
  <c r="E741" i="1"/>
  <c r="D741" i="1"/>
  <c r="C741" i="1"/>
  <c r="F731" i="1"/>
  <c r="G731" i="1" s="1"/>
  <c r="E731" i="1"/>
  <c r="D731" i="1"/>
  <c r="C731" i="1"/>
  <c r="F719" i="1"/>
  <c r="G719" i="1" s="1"/>
  <c r="E719" i="1"/>
  <c r="D719" i="1"/>
  <c r="C719" i="1"/>
  <c r="F712" i="1"/>
  <c r="G712" i="1" s="1"/>
  <c r="E712" i="1"/>
  <c r="D712" i="1"/>
  <c r="C712" i="1"/>
  <c r="F705" i="1"/>
  <c r="G705" i="1" s="1"/>
  <c r="E705" i="1"/>
  <c r="D705" i="1"/>
  <c r="C705" i="1"/>
  <c r="F701" i="1"/>
  <c r="G701" i="1" s="1"/>
  <c r="E701" i="1"/>
  <c r="D701" i="1"/>
  <c r="C701" i="1"/>
  <c r="F692" i="1"/>
  <c r="G692" i="1" s="1"/>
  <c r="E692" i="1"/>
  <c r="D692" i="1"/>
  <c r="C692" i="1"/>
  <c r="F683" i="1"/>
  <c r="G683" i="1" s="1"/>
  <c r="E683" i="1"/>
  <c r="D683" i="1"/>
  <c r="C683" i="1"/>
  <c r="F674" i="1"/>
  <c r="G674" i="1" s="1"/>
  <c r="E674" i="1"/>
  <c r="D674" i="1"/>
  <c r="C674" i="1"/>
  <c r="F662" i="1"/>
  <c r="G662" i="1" s="1"/>
  <c r="E662" i="1"/>
  <c r="D662" i="1"/>
  <c r="C662" i="1"/>
  <c r="F657" i="1"/>
  <c r="G657" i="1" s="1"/>
  <c r="E657" i="1"/>
  <c r="D657" i="1"/>
  <c r="C657" i="1"/>
  <c r="F646" i="1"/>
  <c r="G646" i="1" s="1"/>
  <c r="E646" i="1"/>
  <c r="D646" i="1"/>
  <c r="C646" i="1"/>
  <c r="F639" i="1"/>
  <c r="G639" i="1" s="1"/>
  <c r="E639" i="1"/>
  <c r="D639" i="1"/>
  <c r="C639" i="1"/>
  <c r="F634" i="1"/>
  <c r="G634" i="1" s="1"/>
  <c r="E634" i="1"/>
  <c r="D634" i="1"/>
  <c r="C634" i="1"/>
  <c r="F629" i="1"/>
  <c r="G629" i="1" s="1"/>
  <c r="E629" i="1"/>
  <c r="D629" i="1"/>
  <c r="C629" i="1"/>
  <c r="F623" i="1"/>
  <c r="G623" i="1" s="1"/>
  <c r="E623" i="1"/>
  <c r="D623" i="1"/>
  <c r="C623" i="1"/>
  <c r="F614" i="1"/>
  <c r="E614" i="1"/>
  <c r="D614" i="1"/>
  <c r="C614" i="1"/>
  <c r="F607" i="1"/>
  <c r="E607" i="1"/>
  <c r="D607" i="1"/>
  <c r="C607" i="1"/>
  <c r="F598" i="1"/>
  <c r="E598" i="1"/>
  <c r="D598" i="1"/>
  <c r="C598" i="1"/>
  <c r="F538" i="1"/>
  <c r="G538" i="1" s="1"/>
  <c r="E538" i="1"/>
  <c r="D538" i="1"/>
  <c r="C538" i="1"/>
  <c r="F532" i="1"/>
  <c r="G532" i="1" s="1"/>
  <c r="E532" i="1"/>
  <c r="D532" i="1"/>
  <c r="C532" i="1"/>
  <c r="F523" i="1"/>
  <c r="G523" i="1" s="1"/>
  <c r="E523" i="1"/>
  <c r="D523" i="1"/>
  <c r="C523" i="1"/>
  <c r="F511" i="1"/>
  <c r="G511" i="1" s="1"/>
  <c r="E511" i="1"/>
  <c r="D511" i="1"/>
  <c r="C511" i="1"/>
  <c r="F501" i="1"/>
  <c r="G501" i="1" s="1"/>
  <c r="E501" i="1"/>
  <c r="D501" i="1"/>
  <c r="C501" i="1"/>
  <c r="F491" i="1"/>
  <c r="G491" i="1" s="1"/>
  <c r="E491" i="1"/>
  <c r="D491" i="1"/>
  <c r="C491" i="1"/>
  <c r="F482" i="1"/>
  <c r="G482" i="1" s="1"/>
  <c r="E482" i="1"/>
  <c r="D482" i="1"/>
  <c r="C482" i="1"/>
  <c r="F464" i="1"/>
  <c r="G464" i="1" s="1"/>
  <c r="E464" i="1"/>
  <c r="D464" i="1"/>
  <c r="C464" i="1"/>
  <c r="F456" i="1"/>
  <c r="G456" i="1" s="1"/>
  <c r="E456" i="1"/>
  <c r="D456" i="1"/>
  <c r="C456" i="1"/>
  <c r="F441" i="1"/>
  <c r="G441" i="1" s="1"/>
  <c r="E441" i="1"/>
  <c r="D441" i="1"/>
  <c r="C441" i="1"/>
  <c r="F432" i="1"/>
  <c r="G432" i="1" s="1"/>
  <c r="E432" i="1"/>
  <c r="D432" i="1"/>
  <c r="C432" i="1"/>
  <c r="F424" i="1"/>
  <c r="G424" i="1" s="1"/>
  <c r="E424" i="1"/>
  <c r="D424" i="1"/>
  <c r="C424" i="1"/>
  <c r="F413" i="1"/>
  <c r="G413" i="1" s="1"/>
  <c r="E413" i="1"/>
  <c r="D413" i="1"/>
  <c r="C413" i="1"/>
  <c r="F407" i="1"/>
  <c r="G407" i="1" s="1"/>
  <c r="E407" i="1"/>
  <c r="D407" i="1"/>
  <c r="C407" i="1"/>
  <c r="F397" i="1"/>
  <c r="G397" i="1" s="1"/>
  <c r="E397" i="1"/>
  <c r="D397" i="1"/>
  <c r="C397" i="1"/>
  <c r="F387" i="1"/>
  <c r="G387" i="1" s="1"/>
  <c r="E387" i="1"/>
  <c r="D387" i="1"/>
  <c r="C387" i="1"/>
  <c r="F374" i="1"/>
  <c r="G374" i="1" s="1"/>
  <c r="E374" i="1"/>
  <c r="D374" i="1"/>
  <c r="C374" i="1"/>
  <c r="F366" i="1"/>
  <c r="G366" i="1" s="1"/>
  <c r="E366" i="1"/>
  <c r="D366" i="1"/>
  <c r="C366" i="1"/>
  <c r="F356" i="1"/>
  <c r="G356" i="1" s="1"/>
  <c r="E356" i="1"/>
  <c r="D356" i="1"/>
  <c r="C356" i="1"/>
  <c r="F349" i="1"/>
  <c r="G349" i="1" s="1"/>
  <c r="E349" i="1"/>
  <c r="D349" i="1"/>
  <c r="C349" i="1"/>
  <c r="F341" i="1"/>
  <c r="G341" i="1" s="1"/>
  <c r="E341" i="1"/>
  <c r="D341" i="1"/>
  <c r="C341" i="1"/>
  <c r="F331" i="1"/>
  <c r="G331" i="1" s="1"/>
  <c r="E331" i="1"/>
  <c r="D331" i="1"/>
  <c r="C331" i="1"/>
  <c r="F321" i="1"/>
  <c r="G321" i="1" s="1"/>
  <c r="E321" i="1"/>
  <c r="D321" i="1"/>
  <c r="C321" i="1"/>
  <c r="F310" i="1"/>
  <c r="G310" i="1" s="1"/>
  <c r="E310" i="1"/>
  <c r="D310" i="1"/>
  <c r="C310" i="1"/>
  <c r="F299" i="1"/>
  <c r="G299" i="1" s="1"/>
  <c r="E299" i="1"/>
  <c r="D299" i="1"/>
  <c r="C299" i="1"/>
  <c r="F285" i="1"/>
  <c r="G285" i="1" s="1"/>
  <c r="E285" i="1"/>
  <c r="D285" i="1"/>
  <c r="C285" i="1"/>
  <c r="F264" i="1"/>
  <c r="G264" i="1" s="1"/>
  <c r="E264" i="1"/>
  <c r="D264" i="1"/>
  <c r="C264" i="1"/>
  <c r="F250" i="1"/>
  <c r="G250" i="1" s="1"/>
  <c r="E250" i="1"/>
  <c r="D250" i="1"/>
  <c r="C250" i="1"/>
  <c r="F237" i="1"/>
  <c r="G237" i="1" s="1"/>
  <c r="E237" i="1"/>
  <c r="D237" i="1"/>
  <c r="C237" i="1"/>
  <c r="F225" i="1"/>
  <c r="G225" i="1" s="1"/>
  <c r="E225" i="1"/>
  <c r="D225" i="1"/>
  <c r="C225" i="1"/>
  <c r="F213" i="1"/>
  <c r="G213" i="1" s="1"/>
  <c r="E213" i="1"/>
  <c r="D213" i="1"/>
  <c r="C213" i="1"/>
  <c r="F204" i="1"/>
  <c r="G204" i="1" s="1"/>
  <c r="E204" i="1"/>
  <c r="D204" i="1"/>
  <c r="C204" i="1"/>
  <c r="C194" i="1" s="1"/>
  <c r="F194" i="1"/>
  <c r="G194" i="1" s="1"/>
  <c r="D194" i="1"/>
  <c r="E194" i="1" s="1"/>
  <c r="F181" i="1"/>
  <c r="G181" i="1" s="1"/>
  <c r="E181" i="1"/>
  <c r="D181" i="1"/>
  <c r="C181" i="1"/>
  <c r="F167" i="1"/>
  <c r="G167" i="1" s="1"/>
  <c r="E167" i="1"/>
  <c r="D167" i="1"/>
  <c r="C167" i="1"/>
  <c r="F147" i="1"/>
  <c r="G147" i="1" s="1"/>
  <c r="E147" i="1"/>
  <c r="D147" i="1"/>
  <c r="C147" i="1"/>
  <c r="F136" i="1"/>
  <c r="G136" i="1" s="1"/>
  <c r="E136" i="1"/>
  <c r="D136" i="1"/>
  <c r="C136" i="1"/>
  <c r="F127" i="1"/>
  <c r="G127" i="1" s="1"/>
  <c r="E127" i="1"/>
  <c r="D127" i="1"/>
  <c r="C127" i="1"/>
  <c r="F117" i="1"/>
  <c r="G117" i="1" s="1"/>
  <c r="E117" i="1"/>
  <c r="D117" i="1"/>
  <c r="C117" i="1"/>
  <c r="F108" i="1"/>
  <c r="G108" i="1" s="1"/>
  <c r="E108" i="1"/>
  <c r="D108" i="1"/>
  <c r="C108" i="1"/>
  <c r="F97" i="1"/>
  <c r="G97" i="1" s="1"/>
  <c r="E97" i="1"/>
  <c r="D97" i="1"/>
  <c r="C97" i="1"/>
  <c r="F88" i="1"/>
  <c r="G88" i="1" s="1"/>
  <c r="E88" i="1"/>
  <c r="D88" i="1"/>
  <c r="C88" i="1"/>
  <c r="F80" i="1"/>
  <c r="G80" i="1" s="1"/>
  <c r="E80" i="1"/>
  <c r="D80" i="1"/>
  <c r="C80" i="1"/>
  <c r="F74" i="1"/>
  <c r="G74" i="1" s="1"/>
  <c r="E74" i="1"/>
  <c r="D74" i="1"/>
  <c r="C74" i="1"/>
  <c r="F69" i="1"/>
  <c r="G69" i="1" s="1"/>
  <c r="E69" i="1"/>
  <c r="D69" i="1"/>
  <c r="C69" i="1"/>
  <c r="F59" i="1"/>
  <c r="G59" i="1" s="1"/>
  <c r="E59" i="1"/>
  <c r="D59" i="1"/>
  <c r="C59" i="1"/>
  <c r="C50" i="1"/>
  <c r="F50" i="1"/>
  <c r="G50" i="1" s="1"/>
  <c r="E50" i="1"/>
  <c r="D50" i="1"/>
  <c r="F40" i="1"/>
  <c r="G40" i="1" s="1"/>
  <c r="E40" i="1"/>
  <c r="D40" i="1"/>
  <c r="C40" i="1"/>
  <c r="F26" i="1"/>
  <c r="G26" i="1" s="1"/>
  <c r="E26" i="1"/>
  <c r="D26" i="1"/>
  <c r="C26" i="1"/>
  <c r="F15" i="1"/>
  <c r="G15" i="1" s="1"/>
  <c r="E15" i="1"/>
  <c r="D15" i="1"/>
  <c r="C15" i="1"/>
  <c r="F4" i="1"/>
  <c r="G4" i="1" s="1"/>
  <c r="E4" i="1"/>
  <c r="D4" i="1"/>
  <c r="C4" i="1"/>
</calcChain>
</file>

<file path=xl/sharedStrings.xml><?xml version="1.0" encoding="utf-8"?>
<sst xmlns="http://schemas.openxmlformats.org/spreadsheetml/2006/main" count="1236" uniqueCount="713">
  <si>
    <t xml:space="preserve">Если у вас есть аллергия или непереносимость каких-либо продуктов, пожалуйста, сообщите об этом официанту </t>
  </si>
  <si>
    <t>Выход, гр</t>
  </si>
  <si>
    <t>Бел, гр</t>
  </si>
  <si>
    <t>Жир, гр</t>
  </si>
  <si>
    <t>Угл, гр</t>
  </si>
  <si>
    <t>Кал, ккал на блюдо</t>
  </si>
  <si>
    <t>Кал, ккал/100гр</t>
  </si>
  <si>
    <t>ПАСТА</t>
  </si>
  <si>
    <t>Паппарделле с лососем и красной икрой</t>
  </si>
  <si>
    <t xml:space="preserve">Паста Паппарделле </t>
  </si>
  <si>
    <t>Сливки 22%</t>
  </si>
  <si>
    <t>Лосось филе</t>
  </si>
  <si>
    <t xml:space="preserve">Сыр Пармезан </t>
  </si>
  <si>
    <t xml:space="preserve">Икра красная </t>
  </si>
  <si>
    <t>Лук шалот</t>
  </si>
  <si>
    <t>Масло сливочное</t>
  </si>
  <si>
    <t>Куриный бульон (собств.)</t>
  </si>
  <si>
    <t>Перец черный горошек</t>
  </si>
  <si>
    <t>Соль экстра</t>
  </si>
  <si>
    <t>Лингвини карбонара</t>
  </si>
  <si>
    <t>Паста Лингвини п/ф</t>
  </si>
  <si>
    <t>Бекон свиной в/к</t>
  </si>
  <si>
    <t>Яйцо куриное</t>
  </si>
  <si>
    <t>Масло подсолнечное</t>
  </si>
  <si>
    <t>Феттучини с куриным бедром терияки</t>
  </si>
  <si>
    <t>Паста Феттучини  п/ф</t>
  </si>
  <si>
    <t xml:space="preserve">Лапша Фунчеза рисовая </t>
  </si>
  <si>
    <t>Бульон куриный Новый п/ф</t>
  </si>
  <si>
    <t xml:space="preserve">Куриная грудка  п/ф </t>
  </si>
  <si>
    <t>Мука темпурная</t>
  </si>
  <si>
    <t>Крахмал кукурузный</t>
  </si>
  <si>
    <t xml:space="preserve">Соус Терияки </t>
  </si>
  <si>
    <t>Кинза  п/ф</t>
  </si>
  <si>
    <t xml:space="preserve">Кунжут белый  </t>
  </si>
  <si>
    <t xml:space="preserve">Сыр Пармезан  </t>
  </si>
  <si>
    <t>Пенне с ростбифом</t>
  </si>
  <si>
    <t>Паста Пенне (гот.) п/ф</t>
  </si>
  <si>
    <t>Ростбиф из вырезки гов (гот.) п/ф</t>
  </si>
  <si>
    <t>Паста трюфельная</t>
  </si>
  <si>
    <t>Томаты вяленые</t>
  </si>
  <si>
    <t>Бульон куриный Новый (гот.) п/ф</t>
  </si>
  <si>
    <t>Перец чёрный горошек</t>
  </si>
  <si>
    <t>Лапша с курицей и креветками в соусе кокос вок и бонито</t>
  </si>
  <si>
    <t xml:space="preserve">Куриная грудка </t>
  </si>
  <si>
    <t xml:space="preserve">Креветка </t>
  </si>
  <si>
    <t xml:space="preserve">Лапша удон </t>
  </si>
  <si>
    <t xml:space="preserve">Лук порей фри </t>
  </si>
  <si>
    <t>Стружка тунца</t>
  </si>
  <si>
    <t>Соус вок кокос *</t>
  </si>
  <si>
    <t>*Соус Терияки, молоко кокосовое, крахмал кукурузный, соус острый Шрирача, масло кунжутное, соус рыбный, масло растительное</t>
  </si>
  <si>
    <t>Колбаса Халяль с сыром с/к</t>
  </si>
  <si>
    <t>РИМСКАЯ ПИЦЦА</t>
  </si>
  <si>
    <t>Пицца Барвиха</t>
  </si>
  <si>
    <t>Лук красный</t>
  </si>
  <si>
    <t>Базилик сушёный</t>
  </si>
  <si>
    <t>Сыр Моцарелла</t>
  </si>
  <si>
    <t>Окорок Тамбовский</t>
  </si>
  <si>
    <t>Свиной бекон</t>
  </si>
  <si>
    <t>Соус томатный ПИЦЦА ПФ</t>
  </si>
  <si>
    <t>Тесто пицца (пинса)</t>
  </si>
  <si>
    <t>Пицца Маргарита</t>
  </si>
  <si>
    <t>Пицца Пепперони</t>
  </si>
  <si>
    <t>Пицца Четыре сыра</t>
  </si>
  <si>
    <t>Сыр Джерси Блю / с голубой плесенью</t>
  </si>
  <si>
    <t>Сыр Пармезан</t>
  </si>
  <si>
    <t>Сыр Чеддер</t>
  </si>
  <si>
    <t>Пицца Цезарь</t>
  </si>
  <si>
    <t>Томаты черри</t>
  </si>
  <si>
    <t>п/ф Романо</t>
  </si>
  <si>
    <t>Куриная грудка п/ф</t>
  </si>
  <si>
    <t>Соус Цезарь для ПИЦЦЫ ПФ</t>
  </si>
  <si>
    <t>Пицца Халяль</t>
  </si>
  <si>
    <t>Соус барбекю</t>
  </si>
  <si>
    <t>Огурцы солёные п/ф</t>
  </si>
  <si>
    <t>Сервелат Крымский</t>
  </si>
  <si>
    <t>Колбаса итальянская с сыром</t>
  </si>
  <si>
    <t>Колбаса Султанская</t>
  </si>
  <si>
    <t>БУРГЕРЫ</t>
  </si>
  <si>
    <t xml:space="preserve">"Барвиха с двойной котлетой" </t>
  </si>
  <si>
    <t>Котлета для бургера 180 гр(2шт.)</t>
  </si>
  <si>
    <t>Тесто для булки бургерной ПФ</t>
  </si>
  <si>
    <t>Сыр моцарелла</t>
  </si>
  <si>
    <t>Соус унаги</t>
  </si>
  <si>
    <t>Томаты розовые</t>
  </si>
  <si>
    <t>Руккола п/ф</t>
  </si>
  <si>
    <t>Классика</t>
  </si>
  <si>
    <t>Котлета для бургера 180 гр</t>
  </si>
  <si>
    <t>Сыр чеддер</t>
  </si>
  <si>
    <t>п/ф лук красный</t>
  </si>
  <si>
    <t>Огурцы соленые</t>
  </si>
  <si>
    <t>п/ф томаты</t>
  </si>
  <si>
    <t>Соус сырный</t>
  </si>
  <si>
    <t>Кетчуп томатный</t>
  </si>
  <si>
    <t>Соус медово-горчичный ПФ</t>
  </si>
  <si>
    <t>С сыром камамбер, говядиной и брусничным соусом</t>
  </si>
  <si>
    <t>Соус брусника п/ф (NEW)</t>
  </si>
  <si>
    <t>Сыр камамбер для бургера ПФ</t>
  </si>
  <si>
    <t>п/ф романо</t>
  </si>
  <si>
    <t>Майонез 67%</t>
  </si>
  <si>
    <t>Бургер сырный с котлетой из мраморной говядины с беконом и яйцом</t>
  </si>
  <si>
    <t>П/ф романо</t>
  </si>
  <si>
    <t>П/ф томаты</t>
  </si>
  <si>
    <t>П/ф лук красный</t>
  </si>
  <si>
    <t>С хрустящим цыплёнком</t>
  </si>
  <si>
    <t>Цыплёнок бургерный ПФ</t>
  </si>
  <si>
    <t>Майонез свитчили ПФ</t>
  </si>
  <si>
    <t>Соус барбекью</t>
  </si>
  <si>
    <t>Салаты</t>
  </si>
  <si>
    <t>Баклажан темпура с узбекскими томатами, фисташками и соусом sweet chile</t>
  </si>
  <si>
    <t>Баклажан</t>
  </si>
  <si>
    <t>Соус чили сладкий</t>
  </si>
  <si>
    <t>Мука пшеничная</t>
  </si>
  <si>
    <t>Темпурный кляр</t>
  </si>
  <si>
    <t>Томаты</t>
  </si>
  <si>
    <t>Кинза</t>
  </si>
  <si>
    <t>Лук резанец</t>
  </si>
  <si>
    <t>Фисташки очищенные зеленые</t>
  </si>
  <si>
    <t>* входят в состав: мука Темпура, мука пшеничная, крахмал кукурузный</t>
  </si>
  <si>
    <t>Большой зеленый салат</t>
  </si>
  <si>
    <t>Авокадо</t>
  </si>
  <si>
    <t>Кабачки</t>
  </si>
  <si>
    <t>Морковь</t>
  </si>
  <si>
    <t xml:space="preserve">Шпинат свежий </t>
  </si>
  <si>
    <t>Салат Латук</t>
  </si>
  <si>
    <t>Салат Лоло россо</t>
  </si>
  <si>
    <t>Свекольный лист  (салат Мангольд)</t>
  </si>
  <si>
    <t>Заправка на большой зеленый салат</t>
  </si>
  <si>
    <t>Орех миндаль лепестки</t>
  </si>
  <si>
    <t>Семена Чиа</t>
  </si>
  <si>
    <t>* входят в состав: горчица столовая, уксус винный, сахар песок</t>
  </si>
  <si>
    <t>Гриль-салат с морепродуктами и сливочным соусом, настоянным на водорослях дашикомбу</t>
  </si>
  <si>
    <t>Болгарский сладкий перец</t>
  </si>
  <si>
    <t>Грибы шампиньоны</t>
  </si>
  <si>
    <t>Креветка</t>
  </si>
  <si>
    <t xml:space="preserve">Кальмар мини </t>
  </si>
  <si>
    <t>Соус Дашикомбу</t>
  </si>
  <si>
    <t>Икра Тобико</t>
  </si>
  <si>
    <t>Масло зеленое растительное</t>
  </si>
  <si>
    <t xml:space="preserve">Глазурь азиатская </t>
  </si>
  <si>
    <t>* входят в состав: водоросли Даши Комбу, сливки 22%, стружка тунца, укроп свежий, соус чили сладкий, мед, соус соевый</t>
  </si>
  <si>
    <t>Классический Цезарь с креветками</t>
  </si>
  <si>
    <t>Салат Романо</t>
  </si>
  <si>
    <t>Соус цезарь (соб.)</t>
  </si>
  <si>
    <t>Сухарики для Цезаря (соб.)</t>
  </si>
  <si>
    <t xml:space="preserve">Классический Цезарь с курицей </t>
  </si>
  <si>
    <t>Куриная грудка маринованная (соб.)</t>
  </si>
  <si>
    <t>Сухарики для цезаря (соб.)</t>
  </si>
  <si>
    <t>сыр Пармезан</t>
  </si>
  <si>
    <t>Сухарики п/ф для Цезаря</t>
  </si>
  <si>
    <t>Оливье с куриной грудкой</t>
  </si>
  <si>
    <t>Куриная грудка отварная</t>
  </si>
  <si>
    <t>Картофель отварной</t>
  </si>
  <si>
    <t>Морковь отварная</t>
  </si>
  <si>
    <t>Огурцы св.</t>
  </si>
  <si>
    <t>Горошек зеленый (конс.)</t>
  </si>
  <si>
    <t>Яйцо перепелиное</t>
  </si>
  <si>
    <t>Зелень св.</t>
  </si>
  <si>
    <t>Оливье со слабосоленым лососем</t>
  </si>
  <si>
    <t xml:space="preserve">Лосось с/с в апельсиновом соке с укропом </t>
  </si>
  <si>
    <t xml:space="preserve">Морковь отварная </t>
  </si>
  <si>
    <t>Зелень</t>
  </si>
  <si>
    <t>Руккола с креветками, клубникой и сыром пармезан</t>
  </si>
  <si>
    <t>Салат руккола</t>
  </si>
  <si>
    <t>Клубника св.</t>
  </si>
  <si>
    <t>Соус бальзамический (соб.)</t>
  </si>
  <si>
    <t>Соус-крем бальзамический</t>
  </si>
  <si>
    <t>* входят в состав: уксус бальзамический, сахар песок, масло оливковое</t>
  </si>
  <si>
    <t xml:space="preserve">Салат Греческий </t>
  </si>
  <si>
    <t>Огурцы</t>
  </si>
  <si>
    <t>Болгарский перец желтый</t>
  </si>
  <si>
    <t>Болгарский перец красный</t>
  </si>
  <si>
    <t>Сыр Брынза</t>
  </si>
  <si>
    <t>Маслины Каламата с/к</t>
  </si>
  <si>
    <t>Масло оливковое</t>
  </si>
  <si>
    <t>Каперсы</t>
  </si>
  <si>
    <t>Салат по-деревенски с копченой сметаной</t>
  </si>
  <si>
    <t>Томаты св.</t>
  </si>
  <si>
    <t>Редис красный</t>
  </si>
  <si>
    <t>Укроп свежий</t>
  </si>
  <si>
    <t>Соус Жидкий дым</t>
  </si>
  <si>
    <t>Сметана 20%</t>
  </si>
  <si>
    <t>Теплый салат с мясом бычка(PRIME), мини картофелем  и соусом из тунца</t>
  </si>
  <si>
    <t>Ростбиф из вырезки гов.</t>
  </si>
  <si>
    <t>Картофель мини отварной с/кож.</t>
  </si>
  <si>
    <t>Томаты черри св.</t>
  </si>
  <si>
    <t>Фасоль стручковая с/м</t>
  </si>
  <si>
    <t>Соус тунец (соб.)</t>
  </si>
  <si>
    <t>Чесночное масло (соб.)</t>
  </si>
  <si>
    <t>* входят в состав: петрушка п/ф, чеснок св., майонез 67%, тунец конс., сок лимона свеж., каперсы конс.</t>
  </si>
  <si>
    <t>Закуски</t>
  </si>
  <si>
    <t>Брускетта с лососем</t>
  </si>
  <si>
    <t>Хлеб Санчос</t>
  </si>
  <si>
    <t xml:space="preserve">Лосось с/с </t>
  </si>
  <si>
    <t>Сыр Креметте</t>
  </si>
  <si>
    <t>Соус Юдзу</t>
  </si>
  <si>
    <t xml:space="preserve">Укроп </t>
  </si>
  <si>
    <t>Икра Масаго черная</t>
  </si>
  <si>
    <t xml:space="preserve">Апельсин </t>
  </si>
  <si>
    <t>Брускетта с лососем спайси</t>
  </si>
  <si>
    <t xml:space="preserve">Соус Майонез Кимчи </t>
  </si>
  <si>
    <t>Соус горчичный</t>
  </si>
  <si>
    <t xml:space="preserve">Огурцы </t>
  </si>
  <si>
    <t>* так же в составе: мед, горчица зернистая, масло трюфельное, соус соевый, сок лимонный (св.), масло подсолнечное</t>
  </si>
  <si>
    <t>Брускетта с ростбифом</t>
  </si>
  <si>
    <t>Ростбиф из вырезки говяжей</t>
  </si>
  <si>
    <t>Соус ореховый (кунжутный)</t>
  </si>
  <si>
    <t xml:space="preserve">Перец болгарский  печеный </t>
  </si>
  <si>
    <t xml:space="preserve">Баклажан печеный </t>
  </si>
  <si>
    <t xml:space="preserve">Кабачок печеный </t>
  </si>
  <si>
    <t>* так же в составе: уксус винный, розмарин св., масло подсолнечное, чеснок, перец черный горошком, масло подсолнечное</t>
  </si>
  <si>
    <t>Закуска с сельдью</t>
  </si>
  <si>
    <t>Сельдь филе</t>
  </si>
  <si>
    <t xml:space="preserve">Бородинский хлеб </t>
  </si>
  <si>
    <t>Картофель мини отварной</t>
  </si>
  <si>
    <t>Лук зеленый</t>
  </si>
  <si>
    <t>Мясная тарелка</t>
  </si>
  <si>
    <t>Грудка утиная копченая</t>
  </si>
  <si>
    <t>Брезаола вяленое мясо</t>
  </si>
  <si>
    <t>Оливки гигантские</t>
  </si>
  <si>
    <t>Хлеб Гриссини</t>
  </si>
  <si>
    <t>Мясная тарелка Халяль</t>
  </si>
  <si>
    <t>Сервелат Халяль</t>
  </si>
  <si>
    <t>Колбаса Казы</t>
  </si>
  <si>
    <t>Сельдерей стебель</t>
  </si>
  <si>
    <t>Соус Блю Чиз (соб.)</t>
  </si>
  <si>
    <t>* так же в составе: сыр Блю Чиз, майонез 67%, сливки 22%</t>
  </si>
  <si>
    <t>Оливки</t>
  </si>
  <si>
    <t>Тимьян</t>
  </si>
  <si>
    <t>Розмарин</t>
  </si>
  <si>
    <t>Соус Шрирача</t>
  </si>
  <si>
    <t>Уксус винный</t>
  </si>
  <si>
    <t>Сырная тарелка</t>
  </si>
  <si>
    <t>Сыр Блю Чиз</t>
  </si>
  <si>
    <t>Сыр Монтазио с трюфелем</t>
  </si>
  <si>
    <t>Сыр Бри</t>
  </si>
  <si>
    <t xml:space="preserve">Хлеб Гриссини </t>
  </si>
  <si>
    <t>Виноград б/к</t>
  </si>
  <si>
    <t>Клубника</t>
  </si>
  <si>
    <t>Орех грецкий</t>
  </si>
  <si>
    <t>Мята</t>
  </si>
  <si>
    <t>Мед</t>
  </si>
  <si>
    <t xml:space="preserve">Маслины Каламата </t>
  </si>
  <si>
    <t>Горячие закуски</t>
  </si>
  <si>
    <t>Попкорн из креветок (NEW)</t>
  </si>
  <si>
    <t>Креветка  (сыр.)</t>
  </si>
  <si>
    <t>Темпурный кляр (сыр.)</t>
  </si>
  <si>
    <t>Соус креми спайси (соб.)</t>
  </si>
  <si>
    <t>* так же в составе: мука Темпура, мука пшеничная, майонез, соус сладкий Чили, сок лимона свеж.</t>
  </si>
  <si>
    <t xml:space="preserve"> Попкорн из курицы </t>
  </si>
  <si>
    <t>Куриная грудка (сыр.)</t>
  </si>
  <si>
    <t xml:space="preserve">Кинза </t>
  </si>
  <si>
    <t>Кунжут</t>
  </si>
  <si>
    <t>Соус Терияки</t>
  </si>
  <si>
    <t>Майонез Кимчи (соб.)</t>
  </si>
  <si>
    <t>* так же в составе: мука Темпура, мука пшеничная, майонез, соус Кимчи</t>
  </si>
  <si>
    <t>Сырные палочки с брусничным соусом</t>
  </si>
  <si>
    <t>Сырные палочки с/м</t>
  </si>
  <si>
    <t>Соус брусничный (соб.)</t>
  </si>
  <si>
    <t>* так же в составе: брусника с/м, сахар песок</t>
  </si>
  <si>
    <t>Салат Романо св.</t>
  </si>
  <si>
    <t>Сухари панировочные</t>
  </si>
  <si>
    <t>Супы</t>
  </si>
  <si>
    <t xml:space="preserve">Борщ Халяль </t>
  </si>
  <si>
    <t>Борщ (база)</t>
  </si>
  <si>
    <t xml:space="preserve">Свекольный фреш </t>
  </si>
  <si>
    <t>Говядина отварная</t>
  </si>
  <si>
    <t xml:space="preserve">Чесночное масло </t>
  </si>
  <si>
    <t>Чеснок</t>
  </si>
  <si>
    <t>* так же в составе: свекла, капуста б/к, томатная паста, уксус 9%, сахар,  говядина, перец сладкий, картофель, морковь, лук репчатый, чеснок, жидкий дым, перец черный горошек, соль</t>
  </si>
  <si>
    <t>Крем-суп грибной капучино с добавлением сливок</t>
  </si>
  <si>
    <t>Крем-суп грибной капучино (база)</t>
  </si>
  <si>
    <t xml:space="preserve">Молоко 3.2% </t>
  </si>
  <si>
    <t>Вешенки фри п/ф</t>
  </si>
  <si>
    <t>* так же в составе: грибы шампиньоны, картофель, лук репчатый, масло сливочное, мука пшеничная, масло растительное, перец черный горошек, соль</t>
  </si>
  <si>
    <t>Суп куриный</t>
  </si>
  <si>
    <t>Куриный бульон (база)</t>
  </si>
  <si>
    <t>Фетучини</t>
  </si>
  <si>
    <t>Куриные окорочка отварные</t>
  </si>
  <si>
    <t xml:space="preserve">Укроп п/ф </t>
  </si>
  <si>
    <t>Том ям с  морепродуктами</t>
  </si>
  <si>
    <t>Том-Ям (база)</t>
  </si>
  <si>
    <t>Креветочное масло (соб.)</t>
  </si>
  <si>
    <t xml:space="preserve">Рис басмати </t>
  </si>
  <si>
    <t xml:space="preserve">Кальмар </t>
  </si>
  <si>
    <t>* так же в составе: куриный бульон (соб.), молоко кокосовое, паста Том Ям, томатная паста, масло подсолнечное, корень имбиря, перец Чили мини, сок лайма свеж., лист лайма, трава лимонная (лимонграсс), соль</t>
  </si>
  <si>
    <t>Суп тыквенный с креветкой</t>
  </si>
  <si>
    <t>Суп пюре из тыквы (соб.)</t>
  </si>
  <si>
    <t>Креветки</t>
  </si>
  <si>
    <t>Семена тыквы</t>
  </si>
  <si>
    <t>* так же в составе: масло подсолнечное, перец черный горошек, соль, картофель, лук репчатый, морковь</t>
  </si>
  <si>
    <t>Горячие блюда</t>
  </si>
  <si>
    <t xml:space="preserve">Бефстроганов с картофельным пюре </t>
  </si>
  <si>
    <t xml:space="preserve">Говяжья вырезка </t>
  </si>
  <si>
    <t>Лук репчатый</t>
  </si>
  <si>
    <t xml:space="preserve">Пюре картофельное </t>
  </si>
  <si>
    <t>Чипс гречневый</t>
  </si>
  <si>
    <t>Лук порей фри</t>
  </si>
  <si>
    <t>Огурцы маринованные</t>
  </si>
  <si>
    <t>Соус Вортчестер</t>
  </si>
  <si>
    <t>Куриный бульон (соб.)</t>
  </si>
  <si>
    <t>* так же в составе: мука пшеничная, морковь, лавровый лист</t>
  </si>
  <si>
    <t>Гречка с креветкам</t>
  </si>
  <si>
    <t>Гречка отварная</t>
  </si>
  <si>
    <t xml:space="preserve">Каша из топора </t>
  </si>
  <si>
    <t>Тушенка говядина</t>
  </si>
  <si>
    <t>Куриный стейк тандури с брюссельской капустой и томатами черри</t>
  </si>
  <si>
    <t>Куриная грудка</t>
  </si>
  <si>
    <t>Маринад Тандури для курицы</t>
  </si>
  <si>
    <t>Капуста Брюссельская</t>
  </si>
  <si>
    <t xml:space="preserve">Чесночная паста </t>
  </si>
  <si>
    <t>Соус йогуртовый</t>
  </si>
  <si>
    <t>* так же в составе: йогурт греческий, паприка копченая, Тандури специя, сок лайма, сахар песок, кинза св., мята</t>
  </si>
  <si>
    <t>Стейк из лосося со шпинатом и шампиньонами</t>
  </si>
  <si>
    <t>Лосось</t>
  </si>
  <si>
    <t>Шпинат с/м</t>
  </si>
  <si>
    <t>Мидии в створках</t>
  </si>
  <si>
    <t>Лимоны</t>
  </si>
  <si>
    <t>Тунец красный</t>
  </si>
  <si>
    <t>Цыплёнок на гриле с узбекскими томатами</t>
  </si>
  <si>
    <t>Цыпленок корнишон маринованный (соб.)</t>
  </si>
  <si>
    <t>* так же в составе: паприка копченая, чеснок, петрушка св., масло подсолнечное</t>
  </si>
  <si>
    <t>Щечки бычка с картофельным пюре и соусом Коги</t>
  </si>
  <si>
    <t>Щечки бычка томленные</t>
  </si>
  <si>
    <t>Пюре картофельное</t>
  </si>
  <si>
    <t>Соус Коги</t>
  </si>
  <si>
    <t>* так же в составе: мука пшеничная, масло подсолнечное, молоко 3,2%, масло сливочное, лук репчатый, морковь, лавровый лист, чеснок, розмарин св., перец черный горошком, соль</t>
  </si>
  <si>
    <t>Котлетки из индейки с картофельным пюре и соусом</t>
  </si>
  <si>
    <t>Котлетная масса из индейки</t>
  </si>
  <si>
    <t>Пюре картофельное (соб.)</t>
  </si>
  <si>
    <t>Брокколи св.</t>
  </si>
  <si>
    <t>Редис красный св.</t>
  </si>
  <si>
    <t>* так же в составе: филе грудки индейки, филе куриной грудки,  молоко 3.2%, хлеб пшеничный, яйцо куриное, лук репчатый, жир говяжий, картофель св., масло подсолнечное, масло сливочное, чеснок св., перец черный горошек, соль</t>
  </si>
  <si>
    <t>Соус перечный (соб.)</t>
  </si>
  <si>
    <t>СТЕЙКИ</t>
  </si>
  <si>
    <t>Стейк миньон</t>
  </si>
  <si>
    <t>Масло зелёное для стейков п/ф</t>
  </si>
  <si>
    <t>Говяжья вырезка п/ф</t>
  </si>
  <si>
    <t>Стейк Рибай PRIME BEEF с зелёным сливочным маслом /100 гр</t>
  </si>
  <si>
    <t>Рибай п/ф</t>
  </si>
  <si>
    <t>Чипсы из мини картофеля пф</t>
  </si>
  <si>
    <t>Соль крупная</t>
  </si>
  <si>
    <t>Стейк Стриплойн PRIME BEEF с зелёным сливочным маслом/ 100гр</t>
  </si>
  <si>
    <t>Стриплойн п/ф</t>
  </si>
  <si>
    <t>Денвер стейк PRIME BEEF с зелёным сливочным маслом / 250 гр</t>
  </si>
  <si>
    <t>Денвер п/ф</t>
  </si>
  <si>
    <t>Гарниры</t>
  </si>
  <si>
    <t>Гречка с грибами</t>
  </si>
  <si>
    <t>Гречка</t>
  </si>
  <si>
    <t>п/ф Лук шалот</t>
  </si>
  <si>
    <t>Рис с овощами</t>
  </si>
  <si>
    <t>Рис отварной п/ф</t>
  </si>
  <si>
    <t>п/ф Болгарский перец</t>
  </si>
  <si>
    <t>п/ф Кабачки</t>
  </si>
  <si>
    <t>п/ф Лук красный</t>
  </si>
  <si>
    <t>п/ф Морковь</t>
  </si>
  <si>
    <t>Соевый соус п/ф</t>
  </si>
  <si>
    <t>Пюре картофельное со сливочным маслом и молоком</t>
  </si>
  <si>
    <t>Пюре картофельное ПФ</t>
  </si>
  <si>
    <t>Молоко 3.2% (кухня)</t>
  </si>
  <si>
    <t>Картофель фри</t>
  </si>
  <si>
    <t>Картофель-фри</t>
  </si>
  <si>
    <t xml:space="preserve">Мини картофель </t>
  </si>
  <si>
    <t>п/ф Картофель мини отварной</t>
  </si>
  <si>
    <t>Чесночная паста п/ф</t>
  </si>
  <si>
    <t>Зелень п/ф</t>
  </si>
  <si>
    <t>Овощи на гриле</t>
  </si>
  <si>
    <t>п/ф Баклажан</t>
  </si>
  <si>
    <t>п/ф Томаты</t>
  </si>
  <si>
    <t>Прованские травы</t>
  </si>
  <si>
    <t>Батат фри</t>
  </si>
  <si>
    <t>Картофель батат фри</t>
  </si>
  <si>
    <t>RAW</t>
  </si>
  <si>
    <t xml:space="preserve"> Тар-тар из говядины классический </t>
  </si>
  <si>
    <t>Говядина филе на тар-тар (сыр.)</t>
  </si>
  <si>
    <t>Бородинский хлеб новый</t>
  </si>
  <si>
    <t>Горчица зернистая</t>
  </si>
  <si>
    <t>Горчица столовая</t>
  </si>
  <si>
    <t>Черная соль</t>
  </si>
  <si>
    <t>Тар-тар из лосося</t>
  </si>
  <si>
    <t>Соус Шисо</t>
  </si>
  <si>
    <t>Авокадо св.</t>
  </si>
  <si>
    <t>* так же в составе: рис для суши, шпинат с/м</t>
  </si>
  <si>
    <t xml:space="preserve">Тар-тар из тунца </t>
  </si>
  <si>
    <t>Тунец красный филе</t>
  </si>
  <si>
    <t>Заправка Цитрон п/ф</t>
  </si>
  <si>
    <t>* так же в составе: рис для суши, соус Юдзу, сок апельсиновый свеж., сок лайма свеж., масло оливковое</t>
  </si>
  <si>
    <t>Десерты</t>
  </si>
  <si>
    <t>Фруктовая тарелка</t>
  </si>
  <si>
    <t xml:space="preserve">Виноград </t>
  </si>
  <si>
    <t>Апельсины</t>
  </si>
  <si>
    <t>Яблоки зеленые</t>
  </si>
  <si>
    <t xml:space="preserve">Груши </t>
  </si>
  <si>
    <t>Киви</t>
  </si>
  <si>
    <t>Ананасы</t>
  </si>
  <si>
    <t>Сахарная пудра</t>
  </si>
  <si>
    <t>Тирамису</t>
  </si>
  <si>
    <t>Тирамису (фирменный рецепт от шеф-повара)</t>
  </si>
  <si>
    <t>Какао порошок</t>
  </si>
  <si>
    <t>* так же в составе: кофе, печенье бисквитное, яйцо куриное, сахар песок, сыр Маскарпоне</t>
  </si>
  <si>
    <t>Медовик</t>
  </si>
  <si>
    <t>Медовик (фирменный рецепт от шеф-повара)</t>
  </si>
  <si>
    <t>Голубика</t>
  </si>
  <si>
    <t>* так же в составе: мука пшеничная, мед, яйцо куриное, сахар песок, масло сливочное, лимон, сода пищевая, молоко 3,2%, крахмал кукурузный, сливки 33%</t>
  </si>
  <si>
    <t>Чизкейк</t>
  </si>
  <si>
    <t>Чизкейк (фирменный рецепт от шеф-повара)</t>
  </si>
  <si>
    <t>Соленая карамель (соб.)</t>
  </si>
  <si>
    <t>Бисквит</t>
  </si>
  <si>
    <t xml:space="preserve">Морковная пыль </t>
  </si>
  <si>
    <t>* так же в составе: миндаль лепестки, мука пшеничная, сливочный сыр, желатин, сахар песок, сливки 22%, масло сливочное, соль, морковь св., пищевой краситель, яйцо куриное, разрыхлитель</t>
  </si>
  <si>
    <t>Шоколадный фондан</t>
  </si>
  <si>
    <t>Фондан (фирменный рецепт от шеф-повара)</t>
  </si>
  <si>
    <t>Соус манго (соб.)</t>
  </si>
  <si>
    <t>Шоколад горький 70%</t>
  </si>
  <si>
    <t>Мороженное сливочное ванильное</t>
  </si>
  <si>
    <t>Фрукты сублимированные / стабилизированные</t>
  </si>
  <si>
    <t>Золотая пудра</t>
  </si>
  <si>
    <t>* так же в составе: мука пшеничная, сахар песок, яйцо куриное, масло сливочное, шоколад 70%, манго-пюре, сгущенное молоко</t>
  </si>
  <si>
    <t>Мокко</t>
  </si>
  <si>
    <t>ЯПОНИЯ</t>
  </si>
  <si>
    <t>Гункан кани</t>
  </si>
  <si>
    <t>Краб снежный</t>
  </si>
  <si>
    <t>Водоросли Нори</t>
  </si>
  <si>
    <t>Рис для суши (гот.)</t>
  </si>
  <si>
    <t>*Васаби, имбирь маринованный, соевый соус</t>
  </si>
  <si>
    <t>Лист бамбука (украшение)</t>
  </si>
  <si>
    <t>* вес блюда и КБЖУ без учета соевого соуса, васаби и имбиря</t>
  </si>
  <si>
    <t>* так же в составе: майонез 67%, соус Кимчи, уксус мицукан, соус мирин / уксус рисовый, сахар песок, соль</t>
  </si>
  <si>
    <t>Гункан магуро</t>
  </si>
  <si>
    <t>Тунец</t>
  </si>
  <si>
    <t>* так же в составе: уксус мицукан, соус мирин / уксус рисовый, сахар песок, соль, майонез 67%, соус Кимчи</t>
  </si>
  <si>
    <t>Гункан сяке</t>
  </si>
  <si>
    <t>Майонез Кимчи (гот.)</t>
  </si>
  <si>
    <t>Нори</t>
  </si>
  <si>
    <t>Поке с креветкой</t>
  </si>
  <si>
    <t>Рис для суши (соб.)</t>
  </si>
  <si>
    <t>Кукуруза консервированная</t>
  </si>
  <si>
    <t>Соус медово-горчичный (соб.)</t>
  </si>
  <si>
    <t>Бобы соевые Эдамаме</t>
  </si>
  <si>
    <t>Чука салат</t>
  </si>
  <si>
    <t>* так же в составе: уксус мицукан, соус мирин / уксус рисовый, сахар песок, соль, мед, горчица зернистая</t>
  </si>
  <si>
    <t>Поке с лососем спайси</t>
  </si>
  <si>
    <t>Битые огурцы (соб.)</t>
  </si>
  <si>
    <t>* так же в составе: уксус мицукан, соус мирин / уксус рисовый, сахар песок, соль, масло кунжутное, соус соевый, соус Кимчи, майонез 67%</t>
  </si>
  <si>
    <t xml:space="preserve">Поке с лососем </t>
  </si>
  <si>
    <t>Кукуруза сладкая</t>
  </si>
  <si>
    <t>Соус на основе соевой пасты (соб.)</t>
  </si>
  <si>
    <t>* так же в составе: уксус мицукан, соус мирин / уксус рисовый, соль, паста Мисо, сок апельсиновый свеж., масло подсолнечное, масло трюфельное, соус соевый, сахар песок</t>
  </si>
  <si>
    <t>Поке с тунцом</t>
  </si>
  <si>
    <t>Лимонный кимчи (соб.)</t>
  </si>
  <si>
    <t>Майонез Свитчили (соб.)</t>
  </si>
  <si>
    <t>* так же в составе: уксус мицукан, соус мирин / уксус рисовый, сахар песок, соль, майонез 67%, соус сладкий Чили, имбирь маринованный, кинза св., соус Кимчи, сок свежего лимона</t>
  </si>
  <si>
    <t>Ролл Барвиха</t>
  </si>
  <si>
    <t>Краб роза</t>
  </si>
  <si>
    <t>Икра красная (нерка)</t>
  </si>
  <si>
    <t>Соус Чили-кимчи (соб.)</t>
  </si>
  <si>
    <t>Манго св.</t>
  </si>
  <si>
    <t>Золото</t>
  </si>
  <si>
    <t xml:space="preserve">* так же в составе: уксус мицукан, соус мирин / уксус рисовый, сахар песок, соль, соус соевый, соус Юдзу, соус Кимчи, соус Чили сладкий, икра Тобико, майонез 67%, сок лимона свеж., пюре из манго, молоко сгущенное </t>
  </si>
  <si>
    <t>Ролл Калифорния с крабом</t>
  </si>
  <si>
    <t>* так же в составе: уксус мицукан, соус мирин / уксус рисовый, сахар песок, соль</t>
  </si>
  <si>
    <t>Ролл Калифорния с лососем</t>
  </si>
  <si>
    <t xml:space="preserve"> Ролл Креветка темпура</t>
  </si>
  <si>
    <t>Темпурный кляр (соб.)</t>
  </si>
  <si>
    <t>Соус Унаги</t>
  </si>
  <si>
    <t>Соус Том Ям с масагой (соб.)</t>
  </si>
  <si>
    <t>* так же в составе: уксус мицукан, соус мирин / уксус рисовый, сахар песок, соль, мука Темпура, крахмал кукурузный, сыр Креметте, паста Том Ям, икра Тобико</t>
  </si>
  <si>
    <t xml:space="preserve"> Ролл Опалённый лосось с апельсином</t>
  </si>
  <si>
    <t>Сахар тростниковый</t>
  </si>
  <si>
    <t>Апельсин св.</t>
  </si>
  <si>
    <t>Васаби, имбирь маринованный, соевый соус</t>
  </si>
  <si>
    <t>Ролл с авокадо и лососем</t>
  </si>
  <si>
    <t>п/ф Авокадо</t>
  </si>
  <si>
    <t xml:space="preserve"> Ролл Филадельфия</t>
  </si>
  <si>
    <t xml:space="preserve">Теплый ролл с креветкой и лососем </t>
  </si>
  <si>
    <t>* так же в составе: уксус мицукан, соус мирин / уксус рисовый, сахар песок, соль, мука Темпура, крахмал кукурузный, мука пшеничная</t>
  </si>
  <si>
    <t>Имбирь маринованный</t>
  </si>
  <si>
    <t>Васаби для суши (соб.)</t>
  </si>
  <si>
    <t>Соевый соус (соб.)</t>
  </si>
  <si>
    <t>ШАШЛЫКИ</t>
  </si>
  <si>
    <t>Шашлык из куриного бедра</t>
  </si>
  <si>
    <t>Шашлык куриное бедро</t>
  </si>
  <si>
    <t>Лук репчатый маринованный (соб.)</t>
  </si>
  <si>
    <t>Соус Сацебели</t>
  </si>
  <si>
    <t xml:space="preserve">Шашлык из говяжьей вырезки </t>
  </si>
  <si>
    <t>Шашлык из говяжьей вырезки</t>
  </si>
  <si>
    <t>Шашлык из баранины</t>
  </si>
  <si>
    <t>Шашлык баранина (мякоть)</t>
  </si>
  <si>
    <t>Перец острый Халапеньо (конс.)</t>
  </si>
  <si>
    <t>Хлеб с ароматным маслом</t>
  </si>
  <si>
    <t>Хлеб Итальянский</t>
  </si>
  <si>
    <t>Гречишный хлеб новый</t>
  </si>
  <si>
    <t>Масло сливочное лайм п/ф</t>
  </si>
  <si>
    <t>Правильное Питание</t>
  </si>
  <si>
    <t>ПП Брокколи на пару</t>
  </si>
  <si>
    <t>Капуста Брокколи свежая, приготовленная на пару</t>
  </si>
  <si>
    <t>ПП Брюссельская капуста на пару</t>
  </si>
  <si>
    <t>Капуста Брюссельская свежая, приготовленная на пару</t>
  </si>
  <si>
    <t>ПП Цветная капуста на пару</t>
  </si>
  <si>
    <t>Капуста Цветная свежая, приготовленная на пару</t>
  </si>
  <si>
    <t>ПП Гречка отварная</t>
  </si>
  <si>
    <t>Гречка (гот.)</t>
  </si>
  <si>
    <t>ПП Креветки на пару</t>
  </si>
  <si>
    <t>Креветки  (гот.)</t>
  </si>
  <si>
    <t>ПП Кальмар на пару с лимоном *(без лимона). 155</t>
  </si>
  <si>
    <t>Кальмары, приготовленные на пару (гот.)</t>
  </si>
  <si>
    <t>Лимон</t>
  </si>
  <si>
    <t>*При расчете не учитывается КБЖУ лимонов</t>
  </si>
  <si>
    <t>Общий вес блюда 155 гр</t>
  </si>
  <si>
    <t>ПП Стейк лосося с лимоном *(без лимона). 170</t>
  </si>
  <si>
    <t>Лосось стейк, приготовленный на пару (гот.)</t>
  </si>
  <si>
    <t>Общий вес блюда 170 гр</t>
  </si>
  <si>
    <t>ПП Стейк тунца с лимоном *(без лимона). 170</t>
  </si>
  <si>
    <t>Тунец красный, приготовленный на пару (гот.)</t>
  </si>
  <si>
    <t>ПП Куриная грудка на пару</t>
  </si>
  <si>
    <t>Филе куриной грудки, приготовленное на пару (гот.)</t>
  </si>
  <si>
    <t xml:space="preserve">ПП Медальоны из говядины на пару </t>
  </si>
  <si>
    <t>Говядина вырезка, приготовленная на пару (гот.)</t>
  </si>
  <si>
    <t>ПП Соус Сальса 50гр</t>
  </si>
  <si>
    <t xml:space="preserve">Соус Сальса из свежих томатов, приготовленный по рецепту шеф - повара </t>
  </si>
  <si>
    <t>* так же в составе: соус сладкий Чили, сок лимона свеж., лук красный, кинза, соль</t>
  </si>
  <si>
    <t>ПП Соус Томатный 50гр</t>
  </si>
  <si>
    <t>Соус Томатный из томленных томатов, приготовленный по рецепту шеф - повара</t>
  </si>
  <si>
    <t>* так же в составе: базилик сушеный, масло оливковое, сахар песок, соль</t>
  </si>
  <si>
    <t>ПП Соус Цацики 50гр</t>
  </si>
  <si>
    <t>Соус Цацики, греческий соус, приготовленный по рецепту шеф - повара</t>
  </si>
  <si>
    <t>* так же в составе: йогурт греческий, огурцы св., сок лимона свеж., мята свежая, соль</t>
  </si>
  <si>
    <t>ПП Соус Чесночный 50гр</t>
  </si>
  <si>
    <t>Соус Чесночный со сметаной, приготовленный по рецепту шеф - повара</t>
  </si>
  <si>
    <t>* так же в составе: сметана 20%, чеснок св., укроп св., соль</t>
  </si>
  <si>
    <t>*Лимон (входит в состав блюд)</t>
  </si>
  <si>
    <t>Лимон свежий</t>
  </si>
  <si>
    <t>*Лимон (сок из 50 гр лимона)</t>
  </si>
  <si>
    <t>Сок лимона свеж. (соб.)</t>
  </si>
  <si>
    <t xml:space="preserve">Финики королевские </t>
  </si>
  <si>
    <t>Королевские финики с грецким орехом</t>
  </si>
  <si>
    <t>Грецкий орех</t>
  </si>
  <si>
    <t>золото</t>
  </si>
  <si>
    <t>Креветка тигровая 16/20</t>
  </si>
  <si>
    <t xml:space="preserve">Куриное бедро с булгуром </t>
  </si>
  <si>
    <t>Бедро куриное</t>
  </si>
  <si>
    <t>Булгур (отв.)</t>
  </si>
  <si>
    <t>Ролл Калифорния с креветкой  220/82</t>
  </si>
  <si>
    <t>*расчет КБЖУ без топпингов соевый соус,васаби, маринованный имбирь</t>
  </si>
  <si>
    <t>Микс салата ( Лоло Россо, Мангольд, Романо, Руккола)</t>
  </si>
  <si>
    <t>Соус Деми Глас (соб.)</t>
  </si>
  <si>
    <t>Сухари Панко панировочные</t>
  </si>
  <si>
    <t>Яблоки св.</t>
  </si>
  <si>
    <t>Сельдерей стебель св.</t>
  </si>
  <si>
    <t>ПП Бурый рис отварной</t>
  </si>
  <si>
    <t>Рис бурый (гот.)</t>
  </si>
  <si>
    <t xml:space="preserve">Овощной сет с соусом </t>
  </si>
  <si>
    <t>Арбуз</t>
  </si>
  <si>
    <t>Дыня</t>
  </si>
  <si>
    <t>* так же в составе: укроп св., лук репчатый св., сахар песок, уксус столовый, прованские травы, паприка копченая, уксус винный, чеснок св., соль</t>
  </si>
  <si>
    <t>* так же в составе: укроп св., лук репчатый св., сахар песок, уксус столовый, уксус винный, чеснок св., кориандр молотый, паприка копченая, соль</t>
  </si>
  <si>
    <t>1 кг</t>
  </si>
  <si>
    <t>Лаваш</t>
  </si>
  <si>
    <t>Гранат</t>
  </si>
  <si>
    <t>Куриный шницель</t>
  </si>
  <si>
    <t xml:space="preserve">Болгарский перец </t>
  </si>
  <si>
    <t>Соус на бургер барвиха ПФ</t>
  </si>
  <si>
    <t xml:space="preserve">Лук красный </t>
  </si>
  <si>
    <t>Сервелат Пепперони</t>
  </si>
  <si>
    <t>Салями тоскана</t>
  </si>
  <si>
    <t xml:space="preserve">Лимон </t>
  </si>
  <si>
    <t>Общий вес блюда 200 гр</t>
  </si>
  <si>
    <t xml:space="preserve">Брискет с картофельным пюре и соусом из тыквы </t>
  </si>
  <si>
    <t>Брискет запечённый</t>
  </si>
  <si>
    <t>Суп пюре из тыквы</t>
  </si>
  <si>
    <t>* так же в составе: брискет запечённый (говядина, соль, перец черный), суп пюре из тыквы ( тыква, картофель, лук репчатый, морковь, тимьян), пюре картофельное ( картофель, молоко, масло сливочное), васаби для суши, перец черный горошек, соль</t>
  </si>
  <si>
    <t>Бургер с рваной говядиной, манго  и халапеньо</t>
  </si>
  <si>
    <t>Тесто для булки бургерной</t>
  </si>
  <si>
    <t>Шея говяжья</t>
  </si>
  <si>
    <t>Манго тайское</t>
  </si>
  <si>
    <t>Романо</t>
  </si>
  <si>
    <t>Халапеньо</t>
  </si>
  <si>
    <t>* так же в составе: Тесто для булки бургерной ( мука пшеничная, молоко, яйцо куриное, масло сливочное, сахар, кунжут, дрожжи живые, соль), масло подсолнечное, соль</t>
  </si>
  <si>
    <t>Говядина в азиатском стиле с  рисом</t>
  </si>
  <si>
    <t>Болгарский перец</t>
  </si>
  <si>
    <t>Арахис (кухня)</t>
  </si>
  <si>
    <t>Соус соевый</t>
  </si>
  <si>
    <t>* так же в составе: масло подсолнечное, соль</t>
  </si>
  <si>
    <t xml:space="preserve">Говяжьи ребра копченые с соусом из еловых шишек </t>
  </si>
  <si>
    <t>Копченые ребра</t>
  </si>
  <si>
    <t>Морковное пюре</t>
  </si>
  <si>
    <t>Соус деми глас с еловыми шишками</t>
  </si>
  <si>
    <t>* так же в составе: перец черный горошек, соль, морковное пюре ( морковь, масло сливочное, лук репчатый, соль), соус деми глас с еловыми шишками (соус Деми Глас (соус Деми Глас сух., куриный бульон, лук репчатый, масло подсолнечное), варенье из шишек, масло сливочное, соль), лук порей фри (лук порей, масло фритюрное)</t>
  </si>
  <si>
    <t>Приправа фурикакэ васаби</t>
  </si>
  <si>
    <t>Рис для суши</t>
  </si>
  <si>
    <t xml:space="preserve"> Салат с печеной свеклой и копченой уткой </t>
  </si>
  <si>
    <t>Свекла печёная</t>
  </si>
  <si>
    <t>Соус Апельсиновый</t>
  </si>
  <si>
    <t>Выбитый сыр</t>
  </si>
  <si>
    <t>Шпинат свежий</t>
  </si>
  <si>
    <t>Орех грецкий (кухня)</t>
  </si>
  <si>
    <t>* так же в составе: соус Апельсиновый (сок апельсиновый фреш, сахар, масло сливочное, цедра лайма), масло подсолнечное, тимьян, чеснок, перец черный , соль</t>
  </si>
  <si>
    <t>Салат лоло россо</t>
  </si>
  <si>
    <t>Сырный суп с гриссини</t>
  </si>
  <si>
    <t>Сырный суп база</t>
  </si>
  <si>
    <t>Гриссини хлеб</t>
  </si>
  <si>
    <t>Чипсы из базилика</t>
  </si>
  <si>
    <t xml:space="preserve">* так же в составе: Сырный суп база (сыр плавленый, картофель, лук репчатый, морковь, сливки 22%), масло подсолнечное, чеснок, соль, молоко, </t>
  </si>
  <si>
    <t>Масло трюфельное</t>
  </si>
  <si>
    <t xml:space="preserve">Рис отварной </t>
  </si>
  <si>
    <t>Крем чиз для греческого салата (соб)</t>
  </si>
  <si>
    <t>Базилик свежий</t>
  </si>
  <si>
    <t>Заправка на греческий салат (соб)</t>
  </si>
  <si>
    <t>Салаты/RAW</t>
  </si>
  <si>
    <t>Салат с тунцом и трюфельной заправкой</t>
  </si>
  <si>
    <t>Фасоль стручковая</t>
  </si>
  <si>
    <t>Картофель беби</t>
  </si>
  <si>
    <t>Трюфельная заправка</t>
  </si>
  <si>
    <t xml:space="preserve">Руккола </t>
  </si>
  <si>
    <t>Приправа фурикакэ тунец</t>
  </si>
  <si>
    <t>* так же в составе: масло подсолнечное, горчица столовая, сахар - песок, мед, уксус винный, соус соевый, масло трюфельное, масло кунжутное</t>
  </si>
  <si>
    <t>Лосось для суши</t>
  </si>
  <si>
    <t>* так же в составе: кинза, соус соевый, соус Кимчи, Соус сладкий чили</t>
  </si>
  <si>
    <t>Холодные закуски</t>
  </si>
  <si>
    <t>Закуска с паштетом  из говяжьей печени</t>
  </si>
  <si>
    <t>Паштет из говяжьей печени (соб.)</t>
  </si>
  <si>
    <t>Лук карамелизованный</t>
  </si>
  <si>
    <t>* так же в составе: молоко, масло сливочное, сливки 22 %, лук репчатый, соус-крем бальзамический темный, лук красный, чеснок, соль</t>
  </si>
  <si>
    <t>Томаты кимчи</t>
  </si>
  <si>
    <t>* так же в составе: кинза, соевый соус, соус Кимчи, соус Сладкий чили, соль</t>
  </si>
  <si>
    <t>Жульен с морепродуктами</t>
  </si>
  <si>
    <t>Гребешок</t>
  </si>
  <si>
    <t>Кальмар</t>
  </si>
  <si>
    <t>* так же в составе: масло сливочное, сыр Моцарелла, лук репчатый, грибы шампиньоны, сливки 22 %, соль</t>
  </si>
  <si>
    <t>Горячее</t>
  </si>
  <si>
    <t>Стейк из говяжьей печени</t>
  </si>
  <si>
    <t>Печень говяжья</t>
  </si>
  <si>
    <t>Соус вишневый на стейк печени</t>
  </si>
  <si>
    <t>* так же в составе: молоко, картофель, масло сливочное, сливки 22%, масло подсолнечное, лук красный, соус Деми Глас, бульон куриный, лук репчатый, морковь, окорочка куриные, лавровый лист, сок вишневый, песок сахарный, перец чёрный молотый, соль</t>
  </si>
  <si>
    <t>Судак</t>
  </si>
  <si>
    <t>Батат запеченный</t>
  </si>
  <si>
    <t xml:space="preserve">Крем брокколи </t>
  </si>
  <si>
    <t xml:space="preserve">Крем цветная капуста </t>
  </si>
  <si>
    <t>Судак с пюре из цветной капусты и брокколи</t>
  </si>
  <si>
    <t>Булгур (гот.)</t>
  </si>
  <si>
    <t>Соус Деми Глас</t>
  </si>
  <si>
    <t>Утка филе конфи</t>
  </si>
  <si>
    <t>Смородина черная с/м</t>
  </si>
  <si>
    <t>Орех кедровый</t>
  </si>
  <si>
    <t>* так же в составе: соус Деми Глас, бульон куриный, лук репчатый, морковь, окорочка куриные, лавровый лист, масло сливочное, масло растительное, чеснок, соль</t>
  </si>
  <si>
    <t>Булгур с уткой и соусом деми глас</t>
  </si>
  <si>
    <t>Паста</t>
  </si>
  <si>
    <t>Орзо с ростбифом</t>
  </si>
  <si>
    <t>Паста Орзо (гот.)</t>
  </si>
  <si>
    <t>Ростбиф (говядина) п/ф</t>
  </si>
  <si>
    <t>Соус Деми Глас п/ф</t>
  </si>
  <si>
    <t>* так же в составе: масло подсолнечное, соус Деми Глас, бульон куриный, лук репчатый, морковь, окорочка куриные, лавровый лист, перец черный горошек, чеснок, соль</t>
  </si>
  <si>
    <t>Роллы</t>
  </si>
  <si>
    <t>Ролл с бататом</t>
  </si>
  <si>
    <t>Рис для суши п/ф</t>
  </si>
  <si>
    <t>* так же в составе: уксус рисовый, Мицукан, сахар-песок, чеснок, тимьян св., масло подсолнечное, чеснок, петрушка св., соль</t>
  </si>
  <si>
    <t>Ролл с жареным лососем</t>
  </si>
  <si>
    <t xml:space="preserve">Рис для суши </t>
  </si>
  <si>
    <t>Огурцы суши</t>
  </si>
  <si>
    <t>Васаби для суши п/ф</t>
  </si>
  <si>
    <t>Лист бамбука кухня (украшение)</t>
  </si>
  <si>
    <t>* так же в составе: сахар-песок, уксус рисовый, Мицукан, соль</t>
  </si>
  <si>
    <t>Ролл с тунцом</t>
  </si>
  <si>
    <t>Васаби для суши</t>
  </si>
  <si>
    <t xml:space="preserve">Соус Том Ям с масагой </t>
  </si>
  <si>
    <t>* так же в составе: сахар-песок, рисовый уксус, Мицукан, паста Том Ям, сыр Креметте, икра Тобико, масло подсолнечное, чеснок, соль</t>
  </si>
  <si>
    <t>Крем брюле</t>
  </si>
  <si>
    <t>Крем брюле (соб.)</t>
  </si>
  <si>
    <t>Клубника свежая (кухня)</t>
  </si>
  <si>
    <t>* так же в составе: сахар тростниковый, яйцо куриное, сахар ванильный, сливки 22%, соль</t>
  </si>
  <si>
    <t>Постное меню</t>
  </si>
  <si>
    <t>п/ф Заправка на основе кунжутного масла</t>
  </si>
  <si>
    <t>0.66</t>
  </si>
  <si>
    <t>0.36</t>
  </si>
  <si>
    <t>19.50</t>
  </si>
  <si>
    <t>0.00</t>
  </si>
  <si>
    <t>Яблоки п/ф</t>
  </si>
  <si>
    <t>0.20</t>
  </si>
  <si>
    <t>23.50</t>
  </si>
  <si>
    <t>п/ф Сельдерей стебель</t>
  </si>
  <si>
    <t>0.45</t>
  </si>
  <si>
    <t>0.05</t>
  </si>
  <si>
    <t>6.00</t>
  </si>
  <si>
    <t>Шпинат мини</t>
  </si>
  <si>
    <t>0.58</t>
  </si>
  <si>
    <t>0.06</t>
  </si>
  <si>
    <t>0.40</t>
  </si>
  <si>
    <t>Киноа п/ф</t>
  </si>
  <si>
    <t>75.0</t>
  </si>
  <si>
    <t>0.15</t>
  </si>
  <si>
    <t>0.03</t>
  </si>
  <si>
    <t>0.42</t>
  </si>
  <si>
    <t>Салат со шпинатом, киноа, сельдереем и яблоком</t>
  </si>
  <si>
    <t>Суп из корнеплодов</t>
  </si>
  <si>
    <t>1.00</t>
  </si>
  <si>
    <t>п/ф Сухарики для супа из корнеплодов</t>
  </si>
  <si>
    <t>20.0</t>
  </si>
  <si>
    <t>Вода питьевая</t>
  </si>
  <si>
    <t>п/ф Суп из корнеплодов база</t>
  </si>
  <si>
    <t xml:space="preserve"> Ролл Овощной</t>
  </si>
  <si>
    <t>Васаби для суши ПФ</t>
  </si>
  <si>
    <t>п/ф Огурцы суши</t>
  </si>
  <si>
    <t>п/ф Болгарский перец красный</t>
  </si>
  <si>
    <t>Овощи печеные п/ф</t>
  </si>
  <si>
    <t>Рис для суши ПФ</t>
  </si>
  <si>
    <t>Цветная капуста с соусом  на основе кокосового молока и карри</t>
  </si>
  <si>
    <t>Карри</t>
  </si>
  <si>
    <t xml:space="preserve">Молоко кокосовое </t>
  </si>
  <si>
    <t>Цветная капуста п/ф</t>
  </si>
  <si>
    <t>* входят в состав: желток яца куриного, сельдь, каперсы, соус соевый, чеснок, горчица зернистая, багет</t>
  </si>
  <si>
    <t>Севиче из лосося</t>
  </si>
  <si>
    <t>* так же в составе: соус юдзу, тимьян св., петрушка св., чеснок, масло подсолнечное, чеснок, перец черный молотый, соль</t>
  </si>
  <si>
    <t>Томаты черри кимчи</t>
  </si>
  <si>
    <t>Томаты черри кимчи (соб.)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</si>
</sst>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7" x14ac:knownFonts="1">
    <font>
      <sz val="11"/>
      <color theme="1"/>
      <name val="Calibri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i/>
      <sz val="14"/>
      <color theme="1"/>
      <name val="Calibri"/>
      <family val="2"/>
      <charset val="204"/>
    </font>
    <font>
      <b/>
      <sz val="12"/>
      <color theme="1"/>
      <name val="Times New Roman"/>
      <family val="1"/>
      <charset val="204"/>
    </font>
    <font>
      <b/>
      <i/>
      <sz val="16"/>
      <color rgb="FF000000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rgb="FF000000"/>
      <name val="Arial"/>
      <family val="2"/>
      <charset val="204"/>
    </font>
    <font>
      <sz val="11"/>
      <color rgb="FF555555"/>
      <name val="Arial"/>
      <family val="2"/>
      <charset val="204"/>
    </font>
    <font>
      <sz val="11"/>
      <color rgb="FF000000"/>
      <name val="Times New Roman"/>
      <family val="1"/>
      <charset val="204"/>
    </font>
    <font>
      <b/>
      <i/>
      <sz val="16"/>
      <color theme="1"/>
      <name val="Calibri"/>
      <family val="2"/>
      <charset val="204"/>
    </font>
    <font>
      <b/>
      <i/>
      <sz val="16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theme="1"/>
      <name val="Calibri"/>
      <family val="2"/>
      <charset val="204"/>
    </font>
    <font>
      <b/>
      <sz val="16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4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</font>
    <font>
      <b/>
      <sz val="12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FFFFF"/>
      </patternFill>
    </fill>
    <fill>
      <patternFill patternType="solid">
        <f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CCFFCB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6">
    <xf numFmtId="0" fontId="3" fillId="0" borderId="0" xfId="0" applyNumberFormat="1" applyFont="1"/>
    <xf numFmtId="0" fontId="5" fillId="2" borderId="1" xfId="0" applyNumberFormat="1" applyFont="1" applyFill="1" applyBorder="1" applyAlignment="1">
      <alignment horizontal="center" vertical="center" wrapText="1"/>
    </xf>
    <xf numFmtId="2" fontId="3" fillId="0" borderId="0" xfId="0" applyNumberFormat="1" applyFont="1"/>
    <xf numFmtId="0" fontId="5" fillId="2" borderId="1" xfId="0" applyNumberFormat="1" applyFont="1" applyFill="1" applyBorder="1" applyAlignment="1">
      <alignment vertical="center"/>
    </xf>
    <xf numFmtId="1" fontId="7" fillId="2" borderId="1" xfId="0" applyNumberFormat="1" applyFont="1" applyFill="1" applyBorder="1" applyAlignment="1">
      <alignment horizontal="center" vertical="center"/>
    </xf>
    <xf numFmtId="2" fontId="7" fillId="2" borderId="1" xfId="0" applyNumberFormat="1" applyFont="1" applyFill="1" applyBorder="1" applyAlignment="1">
      <alignment horizontal="center" vertical="center"/>
    </xf>
    <xf numFmtId="2" fontId="7" fillId="2" borderId="5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Border="1" applyAlignment="1">
      <alignment vertical="center"/>
    </xf>
    <xf numFmtId="164" fontId="7" fillId="0" borderId="1" xfId="0" applyNumberFormat="1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0" fontId="9" fillId="0" borderId="6" xfId="0" applyNumberFormat="1" applyFont="1" applyBorder="1" applyAlignment="1">
      <alignment horizontal="center" vertical="center"/>
    </xf>
    <xf numFmtId="0" fontId="5" fillId="2" borderId="7" xfId="0" applyNumberFormat="1" applyFont="1" applyFill="1" applyBorder="1" applyAlignment="1">
      <alignment vertical="center"/>
    </xf>
    <xf numFmtId="2" fontId="7" fillId="2" borderId="1" xfId="0" applyNumberFormat="1" applyFont="1" applyFill="1" applyBorder="1" applyAlignment="1">
      <alignment horizontal="center" vertical="center" wrapText="1"/>
    </xf>
    <xf numFmtId="2" fontId="7" fillId="0" borderId="8" xfId="0" applyNumberFormat="1" applyFont="1" applyBorder="1" applyAlignment="1">
      <alignment horizontal="center" vertical="center"/>
    </xf>
    <xf numFmtId="2" fontId="9" fillId="0" borderId="8" xfId="0" applyNumberFormat="1" applyFont="1" applyBorder="1" applyAlignment="1">
      <alignment horizontal="center" vertical="center"/>
    </xf>
    <xf numFmtId="0" fontId="7" fillId="0" borderId="8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2" fontId="7" fillId="0" borderId="6" xfId="0" applyNumberFormat="1" applyFont="1" applyBorder="1" applyAlignment="1">
      <alignment horizontal="center" vertical="center"/>
    </xf>
    <xf numFmtId="0" fontId="7" fillId="0" borderId="6" xfId="0" applyNumberFormat="1" applyFont="1" applyBorder="1" applyAlignment="1">
      <alignment horizontal="center" vertical="center"/>
    </xf>
    <xf numFmtId="0" fontId="9" fillId="0" borderId="8" xfId="0" applyNumberFormat="1" applyFont="1" applyBorder="1" applyAlignment="1">
      <alignment horizontal="center" vertical="center"/>
    </xf>
    <xf numFmtId="0" fontId="3" fillId="0" borderId="0" xfId="0" applyNumberFormat="1" applyFont="1" applyAlignment="1">
      <alignment horizontal="center"/>
    </xf>
    <xf numFmtId="4" fontId="9" fillId="0" borderId="1" xfId="0" applyNumberFormat="1" applyFont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 wrapText="1"/>
    </xf>
    <xf numFmtId="2" fontId="7" fillId="0" borderId="8" xfId="0" applyNumberFormat="1" applyFont="1" applyBorder="1" applyAlignment="1">
      <alignment horizontal="center" vertical="center" wrapText="1"/>
    </xf>
    <xf numFmtId="2" fontId="9" fillId="0" borderId="8" xfId="0" applyNumberFormat="1" applyFont="1" applyBorder="1" applyAlignment="1">
      <alignment horizontal="center" vertical="center" wrapText="1"/>
    </xf>
    <xf numFmtId="0" fontId="9" fillId="0" borderId="8" xfId="0" applyNumberFormat="1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NumberFormat="1" applyFont="1" applyBorder="1" applyAlignment="1">
      <alignment horizontal="center" vertical="center" wrapText="1"/>
    </xf>
    <xf numFmtId="0" fontId="8" fillId="0" borderId="8" xfId="0" applyNumberFormat="1" applyFont="1" applyBorder="1" applyAlignment="1">
      <alignment vertical="center"/>
    </xf>
    <xf numFmtId="2" fontId="7" fillId="0" borderId="6" xfId="0" applyNumberFormat="1" applyFont="1" applyBorder="1" applyAlignment="1">
      <alignment horizontal="center" vertical="center" wrapText="1"/>
    </xf>
    <xf numFmtId="0" fontId="9" fillId="0" borderId="6" xfId="0" applyNumberFormat="1" applyFont="1" applyBorder="1" applyAlignment="1">
      <alignment horizontal="center" vertical="center" wrapText="1"/>
    </xf>
    <xf numFmtId="0" fontId="5" fillId="2" borderId="7" xfId="0" applyNumberFormat="1" applyFont="1" applyFill="1" applyBorder="1"/>
    <xf numFmtId="2" fontId="10" fillId="2" borderId="1" xfId="0" applyNumberFormat="1" applyFont="1" applyFill="1" applyBorder="1" applyAlignment="1">
      <alignment horizontal="center"/>
    </xf>
    <xf numFmtId="1" fontId="7" fillId="0" borderId="1" xfId="0" applyNumberFormat="1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/>
    </xf>
    <xf numFmtId="0" fontId="0" fillId="0" borderId="6" xfId="0" applyNumberFormat="1" applyFont="1" applyBorder="1" applyAlignment="1">
      <alignment horizontal="center"/>
    </xf>
    <xf numFmtId="0" fontId="8" fillId="0" borderId="0" xfId="0" applyNumberFormat="1" applyFont="1" applyAlignment="1">
      <alignment vertical="center" wrapText="1"/>
    </xf>
    <xf numFmtId="1" fontId="11" fillId="0" borderId="1" xfId="0" applyNumberFormat="1" applyFont="1" applyBorder="1" applyAlignment="1">
      <alignment horizontal="center"/>
    </xf>
    <xf numFmtId="0" fontId="12" fillId="0" borderId="1" xfId="0" applyNumberFormat="1" applyFont="1" applyBorder="1" applyAlignment="1">
      <alignment horizontal="right"/>
    </xf>
    <xf numFmtId="0" fontId="5" fillId="2" borderId="0" xfId="0" applyNumberFormat="1" applyFont="1" applyFill="1"/>
    <xf numFmtId="0" fontId="10" fillId="2" borderId="1" xfId="0" applyNumberFormat="1" applyFont="1" applyFill="1" applyBorder="1" applyAlignment="1">
      <alignment horizontal="center"/>
    </xf>
    <xf numFmtId="4" fontId="10" fillId="2" borderId="1" xfId="0" applyNumberFormat="1" applyFont="1" applyFill="1" applyBorder="1" applyAlignment="1">
      <alignment horizontal="center"/>
    </xf>
    <xf numFmtId="0" fontId="0" fillId="0" borderId="8" xfId="0" applyNumberFormat="1" applyFont="1" applyBorder="1" applyAlignment="1">
      <alignment horizontal="center"/>
    </xf>
    <xf numFmtId="0" fontId="3" fillId="0" borderId="1" xfId="0" applyNumberFormat="1" applyFont="1" applyBorder="1"/>
    <xf numFmtId="0" fontId="8" fillId="0" borderId="1" xfId="0" applyNumberFormat="1" applyFont="1" applyBorder="1" applyAlignment="1">
      <alignment horizontal="left" vertical="center"/>
    </xf>
    <xf numFmtId="0" fontId="13" fillId="0" borderId="1" xfId="0" applyNumberFormat="1" applyFont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Border="1" applyAlignment="1">
      <alignment horizontal="center" vertical="center" wrapText="1"/>
    </xf>
    <xf numFmtId="0" fontId="5" fillId="2" borderId="1" xfId="0" applyNumberFormat="1" applyFont="1" applyFill="1" applyBorder="1"/>
    <xf numFmtId="0" fontId="8" fillId="0" borderId="1" xfId="0" applyNumberFormat="1" applyFont="1" applyBorder="1" applyAlignment="1">
      <alignment horizontal="left"/>
    </xf>
    <xf numFmtId="0" fontId="8" fillId="0" borderId="1" xfId="0" applyNumberFormat="1" applyFont="1" applyBorder="1" applyAlignment="1">
      <alignment horizontal="center" vertical="center" wrapText="1"/>
    </xf>
    <xf numFmtId="0" fontId="15" fillId="0" borderId="1" xfId="0" applyNumberFormat="1" applyFont="1" applyBorder="1" applyAlignment="1">
      <alignment horizontal="left" vertical="center"/>
    </xf>
    <xf numFmtId="0" fontId="9" fillId="0" borderId="5" xfId="0" applyNumberFormat="1" applyFont="1" applyBorder="1" applyAlignment="1">
      <alignment horizontal="center" vertical="center"/>
    </xf>
    <xf numFmtId="0" fontId="16" fillId="0" borderId="1" xfId="0" applyNumberFormat="1" applyFont="1" applyBorder="1"/>
    <xf numFmtId="0" fontId="17" fillId="0" borderId="1" xfId="0" applyNumberFormat="1" applyFont="1" applyBorder="1" applyAlignment="1">
      <alignment horizontal="center"/>
    </xf>
    <xf numFmtId="2" fontId="7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2" fontId="7" fillId="0" borderId="9" xfId="0" applyNumberFormat="1" applyFont="1" applyBorder="1" applyAlignment="1">
      <alignment horizontal="center" vertical="center"/>
    </xf>
    <xf numFmtId="0" fontId="9" fillId="0" borderId="9" xfId="0" applyNumberFormat="1" applyFont="1" applyBorder="1" applyAlignment="1">
      <alignment horizontal="center" vertical="center"/>
    </xf>
    <xf numFmtId="2" fontId="9" fillId="0" borderId="9" xfId="0" applyNumberFormat="1" applyFont="1" applyBorder="1" applyAlignment="1">
      <alignment horizontal="center" vertical="center"/>
    </xf>
    <xf numFmtId="0" fontId="5" fillId="2" borderId="10" xfId="0" applyNumberFormat="1" applyFont="1" applyFill="1" applyBorder="1" applyAlignment="1">
      <alignment vertical="center" wrapText="1"/>
    </xf>
    <xf numFmtId="1" fontId="7" fillId="2" borderId="8" xfId="0" applyNumberFormat="1" applyFont="1" applyFill="1" applyBorder="1" applyAlignment="1">
      <alignment horizontal="center" vertical="center" wrapText="1"/>
    </xf>
    <xf numFmtId="2" fontId="7" fillId="2" borderId="8" xfId="0" applyNumberFormat="1" applyFont="1" applyFill="1" applyBorder="1" applyAlignment="1">
      <alignment horizontal="center" vertical="center" wrapText="1"/>
    </xf>
    <xf numFmtId="0" fontId="16" fillId="0" borderId="1" xfId="0" applyNumberFormat="1" applyFont="1" applyBorder="1" applyAlignment="1">
      <alignment wrapText="1"/>
    </xf>
    <xf numFmtId="2" fontId="9" fillId="0" borderId="6" xfId="0" applyNumberFormat="1" applyFont="1" applyBorder="1" applyAlignment="1">
      <alignment horizontal="center" vertical="center" wrapText="1"/>
    </xf>
    <xf numFmtId="0" fontId="10" fillId="2" borderId="8" xfId="0" applyNumberFormat="1" applyFont="1" applyFill="1" applyBorder="1" applyAlignment="1">
      <alignment horizontal="center"/>
    </xf>
    <xf numFmtId="4" fontId="10" fillId="2" borderId="8" xfId="0" applyNumberFormat="1" applyFont="1" applyFill="1" applyBorder="1" applyAlignment="1">
      <alignment horizontal="center"/>
    </xf>
    <xf numFmtId="2" fontId="9" fillId="0" borderId="11" xfId="0" applyNumberFormat="1" applyFont="1" applyBorder="1" applyAlignment="1">
      <alignment horizontal="center" vertical="center" wrapText="1"/>
    </xf>
    <xf numFmtId="0" fontId="3" fillId="0" borderId="6" xfId="0" applyNumberFormat="1" applyFont="1" applyBorder="1"/>
    <xf numFmtId="2" fontId="9" fillId="0" borderId="7" xfId="0" applyNumberFormat="1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0" fontId="17" fillId="0" borderId="6" xfId="0" applyNumberFormat="1" applyFont="1" applyBorder="1" applyAlignment="1">
      <alignment horizontal="center"/>
    </xf>
    <xf numFmtId="0" fontId="16" fillId="0" borderId="6" xfId="0" applyNumberFormat="1" applyFont="1" applyBorder="1"/>
    <xf numFmtId="0" fontId="17" fillId="2" borderId="1" xfId="0" applyNumberFormat="1" applyFont="1" applyFill="1" applyBorder="1"/>
    <xf numFmtId="0" fontId="17" fillId="2" borderId="1" xfId="0" applyNumberFormat="1" applyFont="1" applyFill="1" applyBorder="1" applyAlignment="1">
      <alignment horizontal="center"/>
    </xf>
    <xf numFmtId="2" fontId="5" fillId="2" borderId="1" xfId="0" applyNumberFormat="1" applyFont="1" applyFill="1" applyBorder="1" applyAlignment="1">
      <alignment horizontal="center"/>
    </xf>
    <xf numFmtId="164" fontId="9" fillId="0" borderId="1" xfId="0" applyNumberFormat="1" applyFont="1" applyBorder="1" applyAlignment="1">
      <alignment horizontal="center" vertical="center"/>
    </xf>
    <xf numFmtId="0" fontId="9" fillId="0" borderId="10" xfId="0" applyNumberFormat="1" applyFont="1" applyBorder="1" applyAlignment="1">
      <alignment horizontal="center" vertical="center"/>
    </xf>
    <xf numFmtId="0" fontId="7" fillId="0" borderId="16" xfId="0" applyNumberFormat="1" applyFont="1" applyBorder="1" applyAlignment="1">
      <alignment horizontal="center" vertical="center"/>
    </xf>
    <xf numFmtId="2" fontId="9" fillId="0" borderId="7" xfId="0" applyNumberFormat="1" applyFont="1" applyBorder="1" applyAlignment="1">
      <alignment horizontal="center" vertical="center"/>
    </xf>
    <xf numFmtId="0" fontId="7" fillId="0" borderId="17" xfId="0" applyNumberFormat="1" applyFont="1" applyBorder="1" applyAlignment="1">
      <alignment horizontal="center" vertical="center"/>
    </xf>
    <xf numFmtId="0" fontId="9" fillId="0" borderId="17" xfId="0" applyNumberFormat="1" applyFont="1" applyBorder="1" applyAlignment="1">
      <alignment horizontal="center" vertical="center"/>
    </xf>
    <xf numFmtId="0" fontId="16" fillId="0" borderId="7" xfId="0" applyNumberFormat="1" applyFont="1" applyBorder="1"/>
    <xf numFmtId="0" fontId="5" fillId="2" borderId="7" xfId="0" applyNumberFormat="1" applyFont="1" applyFill="1" applyBorder="1" applyAlignment="1">
      <alignment vertical="center" wrapText="1"/>
    </xf>
    <xf numFmtId="2" fontId="9" fillId="0" borderId="10" xfId="0" applyNumberFormat="1" applyFont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9" fillId="0" borderId="0" xfId="0" applyNumberFormat="1" applyFont="1" applyAlignment="1">
      <alignment horizontal="center" vertical="center"/>
    </xf>
    <xf numFmtId="0" fontId="16" fillId="0" borderId="10" xfId="0" applyNumberFormat="1" applyFont="1" applyBorder="1" applyAlignment="1">
      <alignment wrapText="1"/>
    </xf>
    <xf numFmtId="0" fontId="17" fillId="0" borderId="0" xfId="0" applyNumberFormat="1" applyFont="1" applyAlignment="1">
      <alignment horizontal="center"/>
    </xf>
    <xf numFmtId="0" fontId="18" fillId="0" borderId="1" xfId="0" applyNumberFormat="1" applyFont="1" applyBorder="1" applyAlignment="1">
      <alignment vertical="center"/>
    </xf>
    <xf numFmtId="0" fontId="19" fillId="0" borderId="1" xfId="0" applyNumberFormat="1" applyFont="1" applyBorder="1"/>
    <xf numFmtId="2" fontId="9" fillId="3" borderId="1" xfId="0" applyNumberFormat="1" applyFont="1" applyFill="1" applyBorder="1" applyAlignment="1">
      <alignment horizontal="center" vertical="center"/>
    </xf>
    <xf numFmtId="0" fontId="16" fillId="0" borderId="7" xfId="0" applyNumberFormat="1" applyFont="1" applyBorder="1" applyAlignment="1">
      <alignment wrapText="1"/>
    </xf>
    <xf numFmtId="0" fontId="16" fillId="0" borderId="18" xfId="0" applyNumberFormat="1" applyFont="1" applyBorder="1" applyAlignment="1">
      <alignment wrapText="1"/>
    </xf>
    <xf numFmtId="1" fontId="7" fillId="0" borderId="6" xfId="0" applyNumberFormat="1" applyFont="1" applyBorder="1" applyAlignment="1">
      <alignment horizontal="center" vertical="center"/>
    </xf>
    <xf numFmtId="0" fontId="9" fillId="0" borderId="19" xfId="0" applyNumberFormat="1" applyFont="1" applyBorder="1" applyAlignment="1">
      <alignment horizontal="center" vertical="center"/>
    </xf>
    <xf numFmtId="0" fontId="17" fillId="2" borderId="1" xfId="0" applyNumberFormat="1" applyFont="1" applyFill="1" applyBorder="1" applyAlignment="1">
      <alignment wrapText="1"/>
    </xf>
    <xf numFmtId="1" fontId="7" fillId="0" borderId="11" xfId="0" applyNumberFormat="1" applyFont="1" applyBorder="1" applyAlignment="1">
      <alignment horizontal="center" vertical="center"/>
    </xf>
    <xf numFmtId="2" fontId="9" fillId="0" borderId="11" xfId="0" applyNumberFormat="1" applyFont="1" applyBorder="1" applyAlignment="1">
      <alignment horizontal="center" vertical="center"/>
    </xf>
    <xf numFmtId="0" fontId="9" fillId="0" borderId="11" xfId="0" applyNumberFormat="1" applyFont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left" vertical="center" wrapText="1"/>
    </xf>
    <xf numFmtId="0" fontId="7" fillId="2" borderId="5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Border="1"/>
    <xf numFmtId="0" fontId="9" fillId="0" borderId="17" xfId="0" applyNumberFormat="1" applyFont="1" applyBorder="1" applyAlignment="1">
      <alignment horizontal="center" vertical="center" wrapText="1"/>
    </xf>
    <xf numFmtId="0" fontId="9" fillId="0" borderId="16" xfId="0" applyNumberFormat="1" applyFont="1" applyBorder="1" applyAlignment="1">
      <alignment horizontal="center" vertical="center" wrapText="1"/>
    </xf>
    <xf numFmtId="1" fontId="7" fillId="4" borderId="1" xfId="0" applyNumberFormat="1" applyFont="1" applyFill="1" applyBorder="1" applyAlignment="1">
      <alignment horizontal="center" vertical="center"/>
    </xf>
    <xf numFmtId="0" fontId="9" fillId="3" borderId="1" xfId="0" applyNumberFormat="1" applyFont="1" applyFill="1" applyBorder="1" applyAlignment="1">
      <alignment horizontal="center" vertical="center"/>
    </xf>
    <xf numFmtId="1" fontId="7" fillId="4" borderId="0" xfId="0" applyNumberFormat="1" applyFont="1" applyFill="1" applyAlignment="1">
      <alignment horizontal="center" vertical="center"/>
    </xf>
    <xf numFmtId="0" fontId="9" fillId="3" borderId="0" xfId="0" applyNumberFormat="1" applyFont="1" applyFill="1" applyAlignment="1">
      <alignment horizontal="center" vertical="center"/>
    </xf>
    <xf numFmtId="2" fontId="9" fillId="3" borderId="0" xfId="0" applyNumberFormat="1" applyFont="1" applyFill="1" applyAlignment="1">
      <alignment horizontal="center" vertical="center"/>
    </xf>
    <xf numFmtId="0" fontId="10" fillId="2" borderId="1" xfId="0" applyNumberFormat="1" applyFont="1" applyFill="1" applyBorder="1"/>
    <xf numFmtId="0" fontId="20" fillId="2" borderId="1" xfId="0" applyNumberFormat="1" applyFont="1" applyFill="1" applyBorder="1" applyAlignment="1">
      <alignment horizontal="center"/>
    </xf>
    <xf numFmtId="0" fontId="21" fillId="0" borderId="1" xfId="0" applyNumberFormat="1" applyFont="1" applyBorder="1"/>
    <xf numFmtId="0" fontId="20" fillId="0" borderId="1" xfId="0" applyNumberFormat="1" applyFont="1" applyBorder="1" applyAlignment="1">
      <alignment horizontal="center"/>
    </xf>
    <xf numFmtId="0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9" fillId="3" borderId="8" xfId="0" applyNumberFormat="1" applyFont="1" applyFill="1" applyBorder="1" applyAlignment="1">
      <alignment horizontal="center" vertical="center"/>
    </xf>
    <xf numFmtId="0" fontId="9" fillId="3" borderId="10" xfId="0" applyNumberFormat="1" applyFont="1" applyFill="1" applyBorder="1" applyAlignment="1">
      <alignment horizontal="center" vertical="center"/>
    </xf>
    <xf numFmtId="2" fontId="9" fillId="3" borderId="7" xfId="0" applyNumberFormat="1" applyFont="1" applyFill="1" applyBorder="1" applyAlignment="1">
      <alignment horizontal="center" vertical="center"/>
    </xf>
    <xf numFmtId="2" fontId="9" fillId="3" borderId="8" xfId="0" applyNumberFormat="1" applyFont="1" applyFill="1" applyBorder="1" applyAlignment="1">
      <alignment horizontal="center" vertical="center"/>
    </xf>
    <xf numFmtId="2" fontId="9" fillId="3" borderId="10" xfId="0" applyNumberFormat="1" applyFont="1" applyFill="1" applyBorder="1" applyAlignment="1">
      <alignment horizontal="center" vertical="center"/>
    </xf>
    <xf numFmtId="0" fontId="17" fillId="0" borderId="1" xfId="0" applyNumberFormat="1" applyFont="1" applyBorder="1" applyAlignment="1">
      <alignment horizontal="center"/>
    </xf>
    <xf numFmtId="0" fontId="0" fillId="0" borderId="0" xfId="0"/>
    <xf numFmtId="0" fontId="5" fillId="5" borderId="7" xfId="0" applyFont="1" applyFill="1" applyBorder="1" applyAlignment="1">
      <alignment vertical="center" wrapText="1"/>
    </xf>
    <xf numFmtId="1" fontId="7" fillId="5" borderId="20" xfId="0" applyNumberFormat="1" applyFont="1" applyFill="1" applyBorder="1" applyAlignment="1">
      <alignment horizontal="center" vertical="center"/>
    </xf>
    <xf numFmtId="2" fontId="7" fillId="5" borderId="20" xfId="0" applyNumberFormat="1" applyFont="1" applyFill="1" applyBorder="1" applyAlignment="1">
      <alignment horizontal="center" vertical="center"/>
    </xf>
    <xf numFmtId="2" fontId="7" fillId="5" borderId="20" xfId="0" applyNumberFormat="1" applyFont="1" applyFill="1" applyBorder="1" applyAlignment="1">
      <alignment horizontal="center" vertical="center" wrapText="1"/>
    </xf>
    <xf numFmtId="2" fontId="9" fillId="6" borderId="8" xfId="0" applyNumberFormat="1" applyFont="1" applyFill="1" applyBorder="1" applyAlignment="1">
      <alignment horizontal="center" vertical="center"/>
    </xf>
    <xf numFmtId="2" fontId="9" fillId="6" borderId="10" xfId="0" applyNumberFormat="1" applyFont="1" applyFill="1" applyBorder="1" applyAlignment="1">
      <alignment horizontal="center" vertical="center"/>
    </xf>
    <xf numFmtId="2" fontId="9" fillId="6" borderId="20" xfId="0" applyNumberFormat="1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2" fontId="9" fillId="6" borderId="1" xfId="0" applyNumberFormat="1" applyFont="1" applyFill="1" applyBorder="1" applyAlignment="1">
      <alignment horizontal="center" vertical="center"/>
    </xf>
    <xf numFmtId="2" fontId="9" fillId="6" borderId="7" xfId="0" applyNumberFormat="1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9" fillId="6" borderId="20" xfId="0" applyFont="1" applyFill="1" applyBorder="1" applyAlignment="1">
      <alignment horizontal="center" vertical="center"/>
    </xf>
    <xf numFmtId="0" fontId="17" fillId="0" borderId="0" xfId="0" applyNumberFormat="1" applyFont="1" applyBorder="1" applyAlignment="1">
      <alignment horizontal="center"/>
    </xf>
    <xf numFmtId="2" fontId="9" fillId="6" borderId="0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7" fillId="0" borderId="1" xfId="0" applyNumberFormat="1" applyFont="1" applyBorder="1" applyAlignment="1">
      <alignment horizontal="center"/>
    </xf>
    <xf numFmtId="0" fontId="17" fillId="0" borderId="1" xfId="0" applyNumberFormat="1" applyFont="1" applyBorder="1" applyAlignment="1">
      <alignment horizontal="center"/>
    </xf>
    <xf numFmtId="0" fontId="18" fillId="0" borderId="0" xfId="0" applyFont="1"/>
    <xf numFmtId="0" fontId="17" fillId="0" borderId="1" xfId="0" applyNumberFormat="1" applyFont="1" applyBorder="1" applyAlignment="1">
      <alignment horizontal="center"/>
    </xf>
    <xf numFmtId="0" fontId="17" fillId="0" borderId="1" xfId="0" applyNumberFormat="1" applyFont="1" applyBorder="1" applyAlignment="1">
      <alignment horizontal="center"/>
    </xf>
    <xf numFmtId="0" fontId="2" fillId="0" borderId="0" xfId="0" applyNumberFormat="1" applyFont="1"/>
    <xf numFmtId="0" fontId="17" fillId="0" borderId="1" xfId="0" applyNumberFormat="1" applyFont="1" applyBorder="1" applyAlignment="1">
      <alignment horizontal="center"/>
    </xf>
    <xf numFmtId="0" fontId="22" fillId="0" borderId="0" xfId="0" applyNumberFormat="1" applyFont="1"/>
    <xf numFmtId="0" fontId="23" fillId="0" borderId="7" xfId="0" applyNumberFormat="1" applyFont="1" applyBorder="1" applyAlignment="1">
      <alignment wrapText="1"/>
    </xf>
    <xf numFmtId="0" fontId="18" fillId="0" borderId="8" xfId="1" applyFont="1" applyBorder="1"/>
    <xf numFmtId="0" fontId="18" fillId="6" borderId="16" xfId="1" applyFont="1" applyFill="1" applyBorder="1" applyAlignment="1">
      <alignment horizontal="center" wrapText="1"/>
    </xf>
    <xf numFmtId="0" fontId="24" fillId="0" borderId="16" xfId="1" applyFont="1" applyBorder="1"/>
    <xf numFmtId="0" fontId="25" fillId="7" borderId="8" xfId="1" applyFont="1" applyFill="1" applyBorder="1" applyAlignment="1">
      <alignment wrapText="1"/>
    </xf>
    <xf numFmtId="0" fontId="25" fillId="8" borderId="16" xfId="1" applyFont="1" applyFill="1" applyBorder="1" applyAlignment="1">
      <alignment horizontal="center"/>
    </xf>
    <xf numFmtId="0" fontId="0" fillId="0" borderId="0" xfId="0" applyFont="1" applyAlignment="1"/>
    <xf numFmtId="0" fontId="18" fillId="0" borderId="8" xfId="0" applyFont="1" applyBorder="1"/>
    <xf numFmtId="0" fontId="18" fillId="6" borderId="16" xfId="0" applyFont="1" applyFill="1" applyBorder="1" applyAlignment="1">
      <alignment horizontal="center" wrapText="1"/>
    </xf>
    <xf numFmtId="0" fontId="24" fillId="0" borderId="16" xfId="0" applyFont="1" applyBorder="1"/>
    <xf numFmtId="0" fontId="25" fillId="7" borderId="8" xfId="0" applyFont="1" applyFill="1" applyBorder="1" applyAlignment="1">
      <alignment wrapText="1"/>
    </xf>
    <xf numFmtId="0" fontId="25" fillId="8" borderId="16" xfId="0" applyFont="1" applyFill="1" applyBorder="1" applyAlignment="1">
      <alignment horizontal="center"/>
    </xf>
    <xf numFmtId="0" fontId="26" fillId="0" borderId="16" xfId="1" applyNumberFormat="1" applyFont="1" applyBorder="1" applyAlignment="1">
      <alignment horizontal="center"/>
    </xf>
    <xf numFmtId="0" fontId="26" fillId="0" borderId="16" xfId="0" applyNumberFormat="1" applyFont="1" applyBorder="1" applyAlignment="1">
      <alignment horizontal="center"/>
    </xf>
    <xf numFmtId="2" fontId="25" fillId="8" borderId="16" xfId="0" applyNumberFormat="1" applyFont="1" applyFill="1" applyBorder="1" applyAlignment="1">
      <alignment horizontal="center"/>
    </xf>
    <xf numFmtId="0" fontId="26" fillId="0" borderId="16" xfId="0" applyFont="1" applyBorder="1" applyAlignment="1">
      <alignment horizontal="center"/>
    </xf>
    <xf numFmtId="0" fontId="17" fillId="0" borderId="1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left" vertical="center" wrapText="1"/>
    </xf>
    <xf numFmtId="0" fontId="4" fillId="0" borderId="2" xfId="0" applyNumberFormat="1" applyFont="1" applyBorder="1" applyAlignment="1">
      <alignment horizontal="left" vertical="center" wrapText="1"/>
    </xf>
    <xf numFmtId="0" fontId="6" fillId="0" borderId="1" xfId="0" applyNumberFormat="1" applyFont="1" applyBorder="1" applyAlignment="1">
      <alignment vertical="center"/>
    </xf>
    <xf numFmtId="0" fontId="6" fillId="0" borderId="3" xfId="0" applyNumberFormat="1" applyFont="1" applyBorder="1" applyAlignment="1">
      <alignment vertical="center"/>
    </xf>
    <xf numFmtId="0" fontId="6" fillId="0" borderId="4" xfId="0" applyNumberFormat="1" applyFont="1" applyBorder="1" applyAlignment="1">
      <alignment vertical="center"/>
    </xf>
    <xf numFmtId="0" fontId="5" fillId="2" borderId="1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0" fontId="17" fillId="0" borderId="1" xfId="0" applyNumberFormat="1" applyFont="1" applyBorder="1" applyAlignment="1">
      <alignment horizontal="center"/>
    </xf>
    <xf numFmtId="0" fontId="17" fillId="0" borderId="3" xfId="0" applyNumberFormat="1" applyFont="1" applyBorder="1" applyAlignment="1">
      <alignment horizontal="center"/>
    </xf>
    <xf numFmtId="0" fontId="17" fillId="0" borderId="4" xfId="0" applyNumberFormat="1" applyFont="1" applyBorder="1" applyAlignment="1">
      <alignment horizontal="center"/>
    </xf>
    <xf numFmtId="0" fontId="17" fillId="0" borderId="6" xfId="0" applyNumberFormat="1" applyFont="1" applyBorder="1" applyAlignment="1">
      <alignment horizontal="center"/>
    </xf>
    <xf numFmtId="0" fontId="17" fillId="0" borderId="14" xfId="0" applyNumberFormat="1" applyFont="1" applyBorder="1" applyAlignment="1">
      <alignment horizontal="center"/>
    </xf>
    <xf numFmtId="0" fontId="17" fillId="0" borderId="15" xfId="0" applyNumberFormat="1" applyFont="1" applyBorder="1" applyAlignment="1">
      <alignment horizontal="center"/>
    </xf>
    <xf numFmtId="0" fontId="14" fillId="0" borderId="1" xfId="0" applyNumberFormat="1" applyFont="1" applyBorder="1" applyAlignment="1">
      <alignment vertical="center"/>
    </xf>
    <xf numFmtId="0" fontId="14" fillId="0" borderId="3" xfId="0" applyNumberFormat="1" applyFont="1" applyBorder="1" applyAlignment="1">
      <alignment vertical="center"/>
    </xf>
    <xf numFmtId="0" fontId="14" fillId="0" borderId="4" xfId="0" applyNumberFormat="1" applyFont="1" applyBorder="1" applyAlignment="1">
      <alignment vertical="center"/>
    </xf>
    <xf numFmtId="1" fontId="11" fillId="0" borderId="1" xfId="0" applyNumberFormat="1" applyFont="1" applyBorder="1" applyAlignment="1">
      <alignment horizontal="center"/>
    </xf>
    <xf numFmtId="1" fontId="11" fillId="0" borderId="3" xfId="0" applyNumberFormat="1" applyFont="1" applyBorder="1" applyAlignment="1">
      <alignment horizontal="center"/>
    </xf>
    <xf numFmtId="1" fontId="11" fillId="0" borderId="4" xfId="0" applyNumberFormat="1" applyFont="1" applyBorder="1" applyAlignment="1">
      <alignment horizontal="center"/>
    </xf>
    <xf numFmtId="1" fontId="7" fillId="0" borderId="8" xfId="0" applyNumberFormat="1" applyFont="1" applyBorder="1" applyAlignment="1">
      <alignment horizontal="center" vertical="center"/>
    </xf>
    <xf numFmtId="1" fontId="7" fillId="0" borderId="12" xfId="0" applyNumberFormat="1" applyFont="1" applyBorder="1" applyAlignment="1">
      <alignment horizontal="center" vertical="center"/>
    </xf>
    <xf numFmtId="1" fontId="7" fillId="0" borderId="13" xfId="0" applyNumberFormat="1" applyFont="1" applyBorder="1" applyAlignment="1">
      <alignment horizontal="center" vertical="center"/>
    </xf>
    <xf numFmtId="0" fontId="17" fillId="0" borderId="8" xfId="0" applyNumberFormat="1" applyFont="1" applyBorder="1" applyAlignment="1">
      <alignment horizontal="center"/>
    </xf>
    <xf numFmtId="0" fontId="17" fillId="0" borderId="12" xfId="0" applyNumberFormat="1" applyFont="1" applyBorder="1" applyAlignment="1">
      <alignment horizontal="center"/>
    </xf>
    <xf numFmtId="0" fontId="17" fillId="0" borderId="13" xfId="0" applyNumberFormat="1" applyFont="1" applyBorder="1" applyAlignment="1">
      <alignment horizontal="center"/>
    </xf>
    <xf numFmtId="0" fontId="6" fillId="0" borderId="8" xfId="0" applyNumberFormat="1" applyFont="1" applyBorder="1" applyAlignment="1">
      <alignment vertical="center"/>
    </xf>
    <xf numFmtId="0" fontId="6" fillId="0" borderId="12" xfId="0" applyNumberFormat="1" applyFont="1" applyBorder="1" applyAlignment="1">
      <alignment vertical="center"/>
    </xf>
    <xf numFmtId="0" fontId="6" fillId="0" borderId="13" xfId="0" applyNumberFormat="1" applyFont="1" applyBorder="1" applyAlignment="1">
      <alignment vertical="center"/>
    </xf>
    <xf numFmtId="0" fontId="16" fillId="0" borderId="8" xfId="0" applyNumberFormat="1" applyFont="1" applyBorder="1" applyAlignment="1">
      <alignment horizontal="center" wrapText="1"/>
    </xf>
    <xf numFmtId="0" fontId="16" fillId="0" borderId="12" xfId="0" applyNumberFormat="1" applyFont="1" applyBorder="1" applyAlignment="1">
      <alignment horizontal="center" wrapText="1"/>
    </xf>
    <xf numFmtId="0" fontId="16" fillId="0" borderId="13" xfId="0" applyNumberFormat="1" applyFont="1" applyBorder="1" applyAlignment="1">
      <alignment horizont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55"/>
  <sheetViews>
    <sheetView topLeftCell="A85" zoomScale="70" zoomScaleNormal="70" workbookViewId="0">
      <selection activeCell="A4" sqref="A4:XFD4"/>
    </sheetView>
  </sheetViews>
  <sheetFormatPr defaultColWidth="9.140625" defaultRowHeight="15" x14ac:dyDescent="0.25"/>
  <cols>
    <col min="1" max="1" width="88.5703125" customWidth="1"/>
    <col min="2" max="2" width="17.28515625" customWidth="1"/>
    <col min="3" max="3" width="14.28515625" customWidth="1"/>
    <col min="4" max="4" width="12.5703125" customWidth="1"/>
    <col min="5" max="5" width="13.5703125" customWidth="1"/>
    <col min="6" max="6" width="18.85546875" customWidth="1"/>
    <col min="7" max="7" width="17.5703125" customWidth="1"/>
  </cols>
  <sheetData>
    <row r="1" spans="1:8" x14ac:dyDescent="0.25">
      <c r="A1" s="172" t="s">
        <v>0</v>
      </c>
      <c r="B1" s="177" t="s">
        <v>1</v>
      </c>
      <c r="C1" s="177" t="s">
        <v>2</v>
      </c>
      <c r="D1" s="177" t="s">
        <v>3</v>
      </c>
      <c r="E1" s="177" t="s">
        <v>4</v>
      </c>
      <c r="F1" s="177" t="s">
        <v>5</v>
      </c>
      <c r="G1" s="177" t="s">
        <v>6</v>
      </c>
      <c r="H1" s="2"/>
    </row>
    <row r="2" spans="1:8" ht="24.6" customHeight="1" x14ac:dyDescent="0.25">
      <c r="A2" s="173"/>
      <c r="B2" s="178"/>
      <c r="C2" s="178"/>
      <c r="D2" s="178"/>
      <c r="E2" s="178"/>
      <c r="F2" s="178"/>
      <c r="G2" s="178"/>
      <c r="H2" s="2"/>
    </row>
    <row r="3" spans="1:8" ht="21" x14ac:dyDescent="0.25">
      <c r="A3" s="174" t="s">
        <v>7</v>
      </c>
      <c r="B3" s="175"/>
      <c r="C3" s="175"/>
      <c r="D3" s="175"/>
      <c r="E3" s="175"/>
      <c r="F3" s="175"/>
      <c r="G3" s="176"/>
    </row>
    <row r="4" spans="1:8" ht="15.75" x14ac:dyDescent="0.25">
      <c r="A4" s="3" t="s">
        <v>8</v>
      </c>
      <c r="B4" s="4">
        <v>211</v>
      </c>
      <c r="C4" s="5">
        <f>SUM(C5:C12)</f>
        <v>21.21</v>
      </c>
      <c r="D4" s="5">
        <f>SUM(D5:D12)</f>
        <v>53.330000000000005</v>
      </c>
      <c r="E4" s="5">
        <f>SUM(E5:E12)</f>
        <v>12.469999999999999</v>
      </c>
      <c r="F4" s="5">
        <f>SUM(F5:F12)</f>
        <v>609.32999999999993</v>
      </c>
      <c r="G4" s="6">
        <f>F4/B4*100</f>
        <v>288.78199052132697</v>
      </c>
    </row>
    <row r="5" spans="1:8" ht="15.75" x14ac:dyDescent="0.25">
      <c r="A5" s="7" t="s">
        <v>9</v>
      </c>
      <c r="B5" s="8"/>
      <c r="C5" s="9">
        <v>3.85</v>
      </c>
      <c r="D5" s="9">
        <v>9.15</v>
      </c>
      <c r="E5" s="9">
        <v>6.6</v>
      </c>
      <c r="F5" s="10">
        <v>122.96</v>
      </c>
      <c r="G5" s="9"/>
    </row>
    <row r="6" spans="1:8" ht="15.75" x14ac:dyDescent="0.25">
      <c r="A6" s="7" t="s">
        <v>10</v>
      </c>
      <c r="B6" s="8"/>
      <c r="C6" s="9">
        <v>1.96</v>
      </c>
      <c r="D6" s="10">
        <v>18.7</v>
      </c>
      <c r="E6" s="9">
        <v>3.23</v>
      </c>
      <c r="F6" s="9">
        <v>188.7</v>
      </c>
      <c r="G6" s="9"/>
    </row>
    <row r="7" spans="1:8" ht="15.75" x14ac:dyDescent="0.25">
      <c r="A7" s="7" t="s">
        <v>11</v>
      </c>
      <c r="B7" s="8"/>
      <c r="C7" s="10">
        <v>7.76</v>
      </c>
      <c r="D7" s="10">
        <v>4.66</v>
      </c>
      <c r="E7" s="10">
        <v>0.51</v>
      </c>
      <c r="F7" s="10">
        <v>70.86</v>
      </c>
      <c r="G7" s="9"/>
    </row>
    <row r="8" spans="1:8" ht="15.75" x14ac:dyDescent="0.25">
      <c r="A8" s="7" t="s">
        <v>12</v>
      </c>
      <c r="B8" s="8"/>
      <c r="C8" s="10">
        <v>3.3</v>
      </c>
      <c r="D8" s="10">
        <v>2.56</v>
      </c>
      <c r="E8" s="10">
        <v>0.32</v>
      </c>
      <c r="F8" s="10">
        <v>36.200000000000003</v>
      </c>
      <c r="G8" s="9"/>
    </row>
    <row r="9" spans="1:8" ht="15.75" x14ac:dyDescent="0.25">
      <c r="A9" s="7" t="s">
        <v>13</v>
      </c>
      <c r="B9" s="8"/>
      <c r="C9" s="9">
        <v>1.6</v>
      </c>
      <c r="D9" s="9">
        <v>0.65</v>
      </c>
      <c r="E9" s="10">
        <v>0</v>
      </c>
      <c r="F9" s="9">
        <v>12.25</v>
      </c>
      <c r="G9" s="9"/>
    </row>
    <row r="10" spans="1:8" ht="15.75" x14ac:dyDescent="0.25">
      <c r="A10" s="7" t="s">
        <v>14</v>
      </c>
      <c r="B10" s="8"/>
      <c r="C10" s="10">
        <v>0.2</v>
      </c>
      <c r="D10" s="10">
        <v>0.01</v>
      </c>
      <c r="E10" s="10">
        <v>1.0900000000000001</v>
      </c>
      <c r="F10" s="10">
        <v>5.76</v>
      </c>
      <c r="G10" s="9"/>
    </row>
    <row r="11" spans="1:8" ht="15.75" x14ac:dyDescent="0.25">
      <c r="A11" s="7" t="s">
        <v>15</v>
      </c>
      <c r="B11" s="8"/>
      <c r="C11" s="10">
        <v>0.14000000000000001</v>
      </c>
      <c r="D11" s="10">
        <v>16.399999999999999</v>
      </c>
      <c r="E11" s="10">
        <v>0.12</v>
      </c>
      <c r="F11" s="10">
        <v>148.6</v>
      </c>
      <c r="G11" s="9"/>
    </row>
    <row r="12" spans="1:8" ht="15.75" x14ac:dyDescent="0.25">
      <c r="A12" s="7" t="s">
        <v>16</v>
      </c>
      <c r="B12" s="8"/>
      <c r="C12" s="10">
        <v>2.4</v>
      </c>
      <c r="D12" s="10">
        <v>1.2</v>
      </c>
      <c r="E12" s="10">
        <v>0.6</v>
      </c>
      <c r="F12" s="10">
        <v>24</v>
      </c>
      <c r="G12" s="9"/>
    </row>
    <row r="13" spans="1:8" ht="15.75" x14ac:dyDescent="0.25">
      <c r="A13" s="7" t="s">
        <v>17</v>
      </c>
      <c r="B13" s="8"/>
      <c r="C13" s="10">
        <v>0</v>
      </c>
      <c r="D13" s="10">
        <v>0</v>
      </c>
      <c r="E13" s="10">
        <v>0</v>
      </c>
      <c r="F13" s="10">
        <v>0</v>
      </c>
      <c r="G13" s="9"/>
    </row>
    <row r="14" spans="1:8" ht="15.75" x14ac:dyDescent="0.25">
      <c r="A14" s="7" t="s">
        <v>18</v>
      </c>
      <c r="B14" s="11"/>
      <c r="C14" s="10">
        <v>0</v>
      </c>
      <c r="D14" s="12">
        <v>0</v>
      </c>
      <c r="E14" s="10">
        <v>0</v>
      </c>
      <c r="F14" s="10">
        <v>0</v>
      </c>
      <c r="G14" s="13"/>
    </row>
    <row r="15" spans="1:8" ht="15.75" x14ac:dyDescent="0.25">
      <c r="A15" s="14" t="s">
        <v>19</v>
      </c>
      <c r="B15" s="4">
        <v>218</v>
      </c>
      <c r="C15" s="5">
        <f>SUM(C16:C25)</f>
        <v>21.29</v>
      </c>
      <c r="D15" s="5">
        <f>SUM(D16:D25)</f>
        <v>64.37</v>
      </c>
      <c r="E15" s="5">
        <f>SUM(E16:E25)</f>
        <v>36.720000000000006</v>
      </c>
      <c r="F15" s="5">
        <f>SUM(F16:F25)</f>
        <v>810.62</v>
      </c>
      <c r="G15" s="15">
        <f>F15/B15*100</f>
        <v>371.8440366972477</v>
      </c>
    </row>
    <row r="16" spans="1:8" ht="15.75" x14ac:dyDescent="0.25">
      <c r="A16" s="7" t="s">
        <v>20</v>
      </c>
      <c r="B16" s="16"/>
      <c r="C16" s="17">
        <v>7.5</v>
      </c>
      <c r="D16" s="17">
        <v>4.75</v>
      </c>
      <c r="E16" s="17">
        <v>31</v>
      </c>
      <c r="F16" s="17">
        <v>205.46</v>
      </c>
      <c r="G16" s="18"/>
    </row>
    <row r="17" spans="1:7" ht="15.75" x14ac:dyDescent="0.25">
      <c r="A17" s="7" t="s">
        <v>21</v>
      </c>
      <c r="B17" s="19"/>
      <c r="C17" s="10">
        <v>3</v>
      </c>
      <c r="D17" s="10">
        <v>27.5</v>
      </c>
      <c r="E17" s="10">
        <v>0.5</v>
      </c>
      <c r="F17" s="10">
        <v>252</v>
      </c>
      <c r="G17" s="20"/>
    </row>
    <row r="18" spans="1:7" ht="15.75" x14ac:dyDescent="0.25">
      <c r="A18" s="7" t="s">
        <v>14</v>
      </c>
      <c r="B18" s="19"/>
      <c r="C18" s="10">
        <v>0.2</v>
      </c>
      <c r="D18" s="10">
        <v>0.01</v>
      </c>
      <c r="E18" s="10">
        <v>1.0900000000000001</v>
      </c>
      <c r="F18" s="10">
        <v>5.76</v>
      </c>
      <c r="G18" s="20"/>
    </row>
    <row r="19" spans="1:7" ht="15.75" x14ac:dyDescent="0.25">
      <c r="A19" s="7" t="s">
        <v>10</v>
      </c>
      <c r="B19" s="19"/>
      <c r="C19" s="10">
        <v>1.84</v>
      </c>
      <c r="D19" s="10">
        <v>17.600000000000001</v>
      </c>
      <c r="E19" s="10">
        <v>3.04</v>
      </c>
      <c r="F19" s="10">
        <v>177.6</v>
      </c>
      <c r="G19" s="20"/>
    </row>
    <row r="20" spans="1:7" ht="15.75" x14ac:dyDescent="0.25">
      <c r="A20" s="7" t="s">
        <v>16</v>
      </c>
      <c r="B20" s="19"/>
      <c r="C20" s="10">
        <v>2.4</v>
      </c>
      <c r="D20" s="10">
        <v>1.2</v>
      </c>
      <c r="E20" s="10">
        <v>0.6</v>
      </c>
      <c r="F20" s="10">
        <v>24</v>
      </c>
      <c r="G20" s="20"/>
    </row>
    <row r="21" spans="1:7" ht="15.75" x14ac:dyDescent="0.25">
      <c r="A21" s="7" t="s">
        <v>12</v>
      </c>
      <c r="B21" s="19"/>
      <c r="C21" s="10">
        <v>3.3</v>
      </c>
      <c r="D21" s="10">
        <v>2.56</v>
      </c>
      <c r="E21" s="10">
        <v>0.32</v>
      </c>
      <c r="F21" s="10">
        <v>36.200000000000003</v>
      </c>
      <c r="G21" s="20"/>
    </row>
    <row r="22" spans="1:7" ht="15.75" x14ac:dyDescent="0.25">
      <c r="A22" s="7" t="s">
        <v>22</v>
      </c>
      <c r="B22" s="19"/>
      <c r="C22" s="10">
        <v>3.05</v>
      </c>
      <c r="D22" s="10">
        <v>2.76</v>
      </c>
      <c r="E22" s="10">
        <v>0.17</v>
      </c>
      <c r="F22" s="10">
        <v>37.68</v>
      </c>
      <c r="G22" s="20"/>
    </row>
    <row r="23" spans="1:7" ht="15.75" x14ac:dyDescent="0.25">
      <c r="A23" s="7" t="s">
        <v>23</v>
      </c>
      <c r="B23" s="21"/>
      <c r="C23" s="12">
        <v>0</v>
      </c>
      <c r="D23" s="12">
        <v>7.99</v>
      </c>
      <c r="E23" s="12">
        <v>0</v>
      </c>
      <c r="F23" s="12">
        <v>71.92</v>
      </c>
      <c r="G23" s="22"/>
    </row>
    <row r="24" spans="1:7" ht="15.75" x14ac:dyDescent="0.25">
      <c r="A24" s="7" t="s">
        <v>17</v>
      </c>
      <c r="B24" s="19"/>
      <c r="C24" s="10">
        <v>0</v>
      </c>
      <c r="D24" s="10">
        <v>0</v>
      </c>
      <c r="E24" s="10">
        <v>0</v>
      </c>
      <c r="F24" s="10">
        <v>0</v>
      </c>
      <c r="G24" s="20"/>
    </row>
    <row r="25" spans="1:7" ht="15.75" x14ac:dyDescent="0.25">
      <c r="A25" s="7" t="s">
        <v>18</v>
      </c>
      <c r="B25" s="19"/>
      <c r="C25" s="10">
        <v>0</v>
      </c>
      <c r="D25" s="10">
        <v>0</v>
      </c>
      <c r="E25" s="10">
        <v>0</v>
      </c>
      <c r="F25" s="10">
        <v>0</v>
      </c>
      <c r="G25" s="20"/>
    </row>
    <row r="26" spans="1:7" ht="15.75" x14ac:dyDescent="0.25">
      <c r="A26" s="14" t="s">
        <v>24</v>
      </c>
      <c r="B26" s="4">
        <v>288</v>
      </c>
      <c r="C26" s="5">
        <f>SUM(C27:C39)</f>
        <v>35.980000000000004</v>
      </c>
      <c r="D26" s="5">
        <f>SUM(D27:D39)</f>
        <v>28.87</v>
      </c>
      <c r="E26" s="5">
        <f>SUM(E27:E39)</f>
        <v>67.38</v>
      </c>
      <c r="F26" s="5">
        <f>SUM(F27:F39)</f>
        <v>680.36</v>
      </c>
      <c r="G26" s="15">
        <f>F26/B26*100</f>
        <v>236.23611111111114</v>
      </c>
    </row>
    <row r="27" spans="1:7" ht="15.75" x14ac:dyDescent="0.25">
      <c r="A27" s="7" t="s">
        <v>25</v>
      </c>
      <c r="B27" s="19"/>
      <c r="C27" s="23">
        <v>5.2</v>
      </c>
      <c r="D27" s="23">
        <v>4.55</v>
      </c>
      <c r="E27" s="23">
        <v>35.75</v>
      </c>
      <c r="F27" s="23">
        <v>207.96</v>
      </c>
      <c r="G27" s="18"/>
    </row>
    <row r="28" spans="1:7" ht="15.75" x14ac:dyDescent="0.25">
      <c r="A28" s="7" t="s">
        <v>26</v>
      </c>
      <c r="B28" s="19"/>
      <c r="C28" s="10">
        <v>0.9</v>
      </c>
      <c r="D28" s="10">
        <v>0.09</v>
      </c>
      <c r="E28" s="10">
        <v>11.79</v>
      </c>
      <c r="F28" s="10">
        <v>54.6</v>
      </c>
      <c r="G28" s="20"/>
    </row>
    <row r="29" spans="1:7" ht="15.75" x14ac:dyDescent="0.25">
      <c r="A29" s="7" t="s">
        <v>27</v>
      </c>
      <c r="B29" s="19"/>
      <c r="C29" s="10">
        <v>2.4</v>
      </c>
      <c r="D29" s="10">
        <v>1.2</v>
      </c>
      <c r="E29" s="10">
        <v>0.6</v>
      </c>
      <c r="F29" s="10">
        <v>24</v>
      </c>
      <c r="G29" s="20"/>
    </row>
    <row r="30" spans="1:7" ht="15.75" x14ac:dyDescent="0.25">
      <c r="A30" s="7" t="s">
        <v>10</v>
      </c>
      <c r="B30" s="19"/>
      <c r="C30" s="10">
        <v>1.84</v>
      </c>
      <c r="D30" s="10">
        <v>17.600000000000001</v>
      </c>
      <c r="E30" s="10">
        <v>3.04</v>
      </c>
      <c r="F30" s="10">
        <v>177.6</v>
      </c>
      <c r="G30" s="20"/>
    </row>
    <row r="31" spans="1:7" ht="15.75" x14ac:dyDescent="0.25">
      <c r="A31" s="7" t="s">
        <v>28</v>
      </c>
      <c r="B31" s="19"/>
      <c r="C31" s="9">
        <v>21.24</v>
      </c>
      <c r="D31" s="9">
        <v>1.71</v>
      </c>
      <c r="E31" s="10">
        <v>0.36</v>
      </c>
      <c r="F31" s="9">
        <v>101.7</v>
      </c>
      <c r="G31" s="20"/>
    </row>
    <row r="32" spans="1:7" ht="15.75" x14ac:dyDescent="0.25">
      <c r="A32" s="7" t="s">
        <v>29</v>
      </c>
      <c r="B32" s="19"/>
      <c r="C32" s="9">
        <v>0.35</v>
      </c>
      <c r="D32" s="9">
        <v>0.03</v>
      </c>
      <c r="E32" s="9">
        <v>3.9</v>
      </c>
      <c r="F32" s="9">
        <v>17.25</v>
      </c>
      <c r="G32" s="20"/>
    </row>
    <row r="33" spans="1:7" ht="15.75" x14ac:dyDescent="0.25">
      <c r="A33" s="7" t="s">
        <v>30</v>
      </c>
      <c r="B33" s="19"/>
      <c r="C33" s="9">
        <v>0.01</v>
      </c>
      <c r="D33" s="10">
        <v>0</v>
      </c>
      <c r="E33" s="9">
        <v>4.5599999999999996</v>
      </c>
      <c r="F33" s="24">
        <v>19.05</v>
      </c>
      <c r="G33" s="20"/>
    </row>
    <row r="34" spans="1:7" ht="15.75" x14ac:dyDescent="0.25">
      <c r="A34" s="7" t="s">
        <v>31</v>
      </c>
      <c r="B34" s="19"/>
      <c r="C34" s="9">
        <v>0.18</v>
      </c>
      <c r="D34" s="10">
        <v>0</v>
      </c>
      <c r="E34" s="9">
        <v>6.84</v>
      </c>
      <c r="F34" s="9">
        <v>28.8</v>
      </c>
      <c r="G34" s="9"/>
    </row>
    <row r="35" spans="1:7" ht="15.75" x14ac:dyDescent="0.25">
      <c r="A35" s="7" t="s">
        <v>32</v>
      </c>
      <c r="B35" s="19"/>
      <c r="C35" s="10">
        <v>0</v>
      </c>
      <c r="D35" s="10">
        <v>0</v>
      </c>
      <c r="E35" s="10">
        <v>0</v>
      </c>
      <c r="F35" s="10">
        <v>0</v>
      </c>
      <c r="G35" s="9"/>
    </row>
    <row r="36" spans="1:7" ht="15.75" x14ac:dyDescent="0.25">
      <c r="A36" s="7" t="s">
        <v>33</v>
      </c>
      <c r="B36" s="19"/>
      <c r="C36" s="9">
        <v>0.56000000000000005</v>
      </c>
      <c r="D36" s="9">
        <v>1.1299999999999999</v>
      </c>
      <c r="E36" s="9">
        <v>0.22</v>
      </c>
      <c r="F36" s="9">
        <v>13.2</v>
      </c>
      <c r="G36" s="9"/>
    </row>
    <row r="37" spans="1:7" ht="15.75" x14ac:dyDescent="0.25">
      <c r="A37" s="7" t="s">
        <v>34</v>
      </c>
      <c r="B37" s="19"/>
      <c r="C37" s="9">
        <v>3.3</v>
      </c>
      <c r="D37" s="9">
        <v>2.56</v>
      </c>
      <c r="E37" s="10">
        <v>0.32</v>
      </c>
      <c r="F37" s="25">
        <v>36.200000000000003</v>
      </c>
      <c r="G37" s="9"/>
    </row>
    <row r="38" spans="1:7" ht="15.75" x14ac:dyDescent="0.25">
      <c r="A38" s="7" t="s">
        <v>17</v>
      </c>
      <c r="B38" s="19"/>
      <c r="C38" s="10">
        <v>0</v>
      </c>
      <c r="D38" s="10">
        <v>0</v>
      </c>
      <c r="E38" s="10">
        <v>0</v>
      </c>
      <c r="F38" s="10">
        <v>0</v>
      </c>
      <c r="G38" s="9"/>
    </row>
    <row r="39" spans="1:7" ht="15.75" x14ac:dyDescent="0.25">
      <c r="A39" s="7" t="s">
        <v>18</v>
      </c>
      <c r="B39" s="21"/>
      <c r="C39" s="10">
        <v>0</v>
      </c>
      <c r="D39" s="10">
        <v>0</v>
      </c>
      <c r="E39" s="10">
        <v>0</v>
      </c>
      <c r="F39" s="10">
        <v>0</v>
      </c>
      <c r="G39" s="13"/>
    </row>
    <row r="40" spans="1:7" ht="15.75" x14ac:dyDescent="0.25">
      <c r="A40" s="14" t="s">
        <v>35</v>
      </c>
      <c r="B40" s="26">
        <v>228</v>
      </c>
      <c r="C40" s="15">
        <f>SUM(C41:C49)</f>
        <v>27.77</v>
      </c>
      <c r="D40" s="15">
        <f>SUM(D41:D49)</f>
        <v>37.6</v>
      </c>
      <c r="E40" s="15">
        <f>SUM(E41:E49)</f>
        <v>43.440000000000005</v>
      </c>
      <c r="F40" s="15">
        <f>SUM(F41:F49)</f>
        <v>622.96</v>
      </c>
      <c r="G40" s="15">
        <f>F40/B40*100</f>
        <v>273.22807017543857</v>
      </c>
    </row>
    <row r="41" spans="1:7" ht="15.75" x14ac:dyDescent="0.25">
      <c r="A41" s="7" t="s">
        <v>36</v>
      </c>
      <c r="B41" s="27"/>
      <c r="C41" s="28">
        <v>6.25</v>
      </c>
      <c r="D41" s="28">
        <v>5.5</v>
      </c>
      <c r="E41" s="28">
        <v>36.5</v>
      </c>
      <c r="F41" s="28">
        <v>216.96</v>
      </c>
      <c r="G41" s="29"/>
    </row>
    <row r="42" spans="1:7" ht="15.75" x14ac:dyDescent="0.25">
      <c r="A42" s="7" t="s">
        <v>10</v>
      </c>
      <c r="B42" s="30"/>
      <c r="C42" s="31">
        <v>2.0699999999999998</v>
      </c>
      <c r="D42" s="31">
        <v>19.8</v>
      </c>
      <c r="E42" s="31">
        <v>3.42</v>
      </c>
      <c r="F42" s="31">
        <v>199.8</v>
      </c>
      <c r="G42" s="32"/>
    </row>
    <row r="43" spans="1:7" ht="15.75" x14ac:dyDescent="0.25">
      <c r="A43" s="7" t="s">
        <v>37</v>
      </c>
      <c r="B43" s="30"/>
      <c r="C43" s="31">
        <v>12.48</v>
      </c>
      <c r="D43" s="31">
        <v>6.78</v>
      </c>
      <c r="E43" s="31">
        <v>0.25</v>
      </c>
      <c r="F43" s="31">
        <v>114.9</v>
      </c>
      <c r="G43" s="32"/>
    </row>
    <row r="44" spans="1:7" ht="15.75" x14ac:dyDescent="0.25">
      <c r="A44" s="7" t="s">
        <v>34</v>
      </c>
      <c r="B44" s="30"/>
      <c r="C44" s="31">
        <v>3.3</v>
      </c>
      <c r="D44" s="31">
        <v>2.56</v>
      </c>
      <c r="E44" s="31">
        <v>0.32</v>
      </c>
      <c r="F44" s="31">
        <v>36.200000000000003</v>
      </c>
      <c r="G44" s="32"/>
    </row>
    <row r="45" spans="1:7" ht="15.75" x14ac:dyDescent="0.25">
      <c r="A45" s="7" t="s">
        <v>38</v>
      </c>
      <c r="B45" s="30"/>
      <c r="C45" s="31">
        <v>0.56000000000000005</v>
      </c>
      <c r="D45" s="31">
        <v>1.61</v>
      </c>
      <c r="E45" s="31">
        <v>0.17</v>
      </c>
      <c r="F45" s="31">
        <v>18.2</v>
      </c>
      <c r="G45" s="32"/>
    </row>
    <row r="46" spans="1:7" ht="15.75" x14ac:dyDescent="0.25">
      <c r="A46" s="7" t="s">
        <v>39</v>
      </c>
      <c r="B46" s="30"/>
      <c r="C46" s="31">
        <v>0.71</v>
      </c>
      <c r="D46" s="31">
        <v>0.15</v>
      </c>
      <c r="E46" s="31">
        <v>2.1800000000000002</v>
      </c>
      <c r="F46" s="31">
        <v>12.9</v>
      </c>
      <c r="G46" s="32"/>
    </row>
    <row r="47" spans="1:7" ht="15.75" x14ac:dyDescent="0.25">
      <c r="A47" s="7" t="s">
        <v>40</v>
      </c>
      <c r="B47" s="30"/>
      <c r="C47" s="31">
        <v>2.4</v>
      </c>
      <c r="D47" s="31">
        <v>1.2</v>
      </c>
      <c r="E47" s="31">
        <v>0.6</v>
      </c>
      <c r="F47" s="31">
        <v>24</v>
      </c>
      <c r="G47" s="32"/>
    </row>
    <row r="48" spans="1:7" ht="15.75" x14ac:dyDescent="0.25">
      <c r="A48" s="7" t="s">
        <v>41</v>
      </c>
      <c r="B48" s="30"/>
      <c r="C48" s="10">
        <v>0</v>
      </c>
      <c r="D48" s="10">
        <v>0</v>
      </c>
      <c r="E48" s="10">
        <v>0</v>
      </c>
      <c r="F48" s="10">
        <v>0</v>
      </c>
      <c r="G48" s="32"/>
    </row>
    <row r="49" spans="1:7" ht="15.75" x14ac:dyDescent="0.25">
      <c r="A49" s="33" t="s">
        <v>18</v>
      </c>
      <c r="B49" s="34"/>
      <c r="C49" s="10">
        <v>0</v>
      </c>
      <c r="D49" s="10">
        <v>0</v>
      </c>
      <c r="E49" s="10">
        <v>0</v>
      </c>
      <c r="F49" s="10">
        <v>0</v>
      </c>
      <c r="G49" s="35"/>
    </row>
    <row r="50" spans="1:7" ht="15.75" x14ac:dyDescent="0.25">
      <c r="A50" s="36" t="s">
        <v>42</v>
      </c>
      <c r="B50" s="26">
        <v>256</v>
      </c>
      <c r="C50" s="15">
        <f>SUM(C51:C57)</f>
        <v>29.210000000000004</v>
      </c>
      <c r="D50" s="37">
        <f>SUM(D51:D56)</f>
        <v>11.8</v>
      </c>
      <c r="E50" s="37">
        <f>SUM(E51:E56)</f>
        <v>55.14</v>
      </c>
      <c r="F50" s="15">
        <f>SUM(F51:F56)</f>
        <v>390.95</v>
      </c>
      <c r="G50" s="15">
        <f>F50/B50*100</f>
        <v>152.71484375</v>
      </c>
    </row>
    <row r="51" spans="1:7" ht="15.75" x14ac:dyDescent="0.25">
      <c r="A51" s="33" t="s">
        <v>43</v>
      </c>
      <c r="B51" s="38"/>
      <c r="C51" s="31">
        <v>14.17</v>
      </c>
      <c r="D51" s="31">
        <v>1.1399999999999999</v>
      </c>
      <c r="E51" s="31">
        <v>0.24</v>
      </c>
      <c r="F51" s="31">
        <v>67.81</v>
      </c>
      <c r="G51" s="39"/>
    </row>
    <row r="52" spans="1:7" ht="15.75" x14ac:dyDescent="0.25">
      <c r="A52" s="33" t="s">
        <v>44</v>
      </c>
      <c r="B52" s="38"/>
      <c r="C52" s="31">
        <v>8.64</v>
      </c>
      <c r="D52" s="31">
        <v>0.27</v>
      </c>
      <c r="E52" s="31">
        <v>0</v>
      </c>
      <c r="F52" s="31">
        <v>40.049999999999997</v>
      </c>
      <c r="G52" s="39"/>
    </row>
    <row r="53" spans="1:7" ht="15.75" x14ac:dyDescent="0.25">
      <c r="A53" s="33" t="s">
        <v>45</v>
      </c>
      <c r="B53" s="38"/>
      <c r="C53" s="31">
        <v>3.67</v>
      </c>
      <c r="D53" s="31">
        <v>0.1</v>
      </c>
      <c r="E53" s="31">
        <v>26.42</v>
      </c>
      <c r="F53" s="31">
        <v>121.39</v>
      </c>
      <c r="G53" s="40"/>
    </row>
    <row r="54" spans="1:7" ht="15.75" x14ac:dyDescent="0.25">
      <c r="A54" s="33" t="s">
        <v>46</v>
      </c>
      <c r="B54" s="38"/>
      <c r="C54" s="31">
        <v>0.48</v>
      </c>
      <c r="D54" s="31">
        <v>2.76</v>
      </c>
      <c r="E54" s="31">
        <v>20.239999999999998</v>
      </c>
      <c r="F54" s="31">
        <v>50</v>
      </c>
      <c r="G54" s="39"/>
    </row>
    <row r="55" spans="1:7" ht="15.75" x14ac:dyDescent="0.25">
      <c r="A55" s="33" t="s">
        <v>47</v>
      </c>
      <c r="B55" s="38"/>
      <c r="C55" s="31">
        <v>1.62</v>
      </c>
      <c r="D55" s="31">
        <v>0.04</v>
      </c>
      <c r="E55" s="31">
        <v>0.01</v>
      </c>
      <c r="F55" s="31">
        <v>8.68</v>
      </c>
      <c r="G55" s="39"/>
    </row>
    <row r="56" spans="1:7" ht="15.75" x14ac:dyDescent="0.25">
      <c r="A56" s="33" t="s">
        <v>48</v>
      </c>
      <c r="B56" s="38"/>
      <c r="C56" s="31">
        <v>0.63</v>
      </c>
      <c r="D56" s="31">
        <v>7.49</v>
      </c>
      <c r="E56" s="31">
        <v>8.23</v>
      </c>
      <c r="F56" s="31">
        <v>103.02</v>
      </c>
      <c r="G56" s="39"/>
    </row>
    <row r="57" spans="1:7" ht="31.5" x14ac:dyDescent="0.25">
      <c r="A57" s="41" t="s">
        <v>49</v>
      </c>
      <c r="B57" s="42"/>
      <c r="C57" s="43"/>
      <c r="D57" s="43"/>
      <c r="E57" s="43"/>
      <c r="F57" s="43"/>
      <c r="G57" s="39"/>
    </row>
    <row r="58" spans="1:7" ht="21" x14ac:dyDescent="0.25">
      <c r="A58" s="174" t="s">
        <v>51</v>
      </c>
      <c r="B58" s="175"/>
      <c r="C58" s="175"/>
      <c r="D58" s="175"/>
      <c r="E58" s="175"/>
      <c r="F58" s="175"/>
      <c r="G58" s="176"/>
    </row>
    <row r="59" spans="1:7" ht="15.75" x14ac:dyDescent="0.25">
      <c r="A59" s="3" t="s">
        <v>52</v>
      </c>
      <c r="B59" s="4">
        <v>332</v>
      </c>
      <c r="C59" s="5">
        <f>SUM(C60:C68)</f>
        <v>41.480000000000004</v>
      </c>
      <c r="D59" s="5">
        <f>SUM(D60:D68)</f>
        <v>77.02</v>
      </c>
      <c r="E59" s="5">
        <f>SUM(E60:E68)</f>
        <v>99.82</v>
      </c>
      <c r="F59" s="5">
        <f>SUM(F60:F68)</f>
        <v>1209.6600000000001</v>
      </c>
      <c r="G59" s="6">
        <f>F59/B59*100</f>
        <v>364.35542168674704</v>
      </c>
    </row>
    <row r="60" spans="1:7" ht="15.75" x14ac:dyDescent="0.25">
      <c r="A60" s="49" t="s">
        <v>53</v>
      </c>
      <c r="B60" s="10"/>
      <c r="C60" s="10">
        <v>0.14000000000000001</v>
      </c>
      <c r="D60" s="10">
        <v>0</v>
      </c>
      <c r="E60" s="10">
        <v>0.91</v>
      </c>
      <c r="F60" s="10">
        <v>4.2</v>
      </c>
      <c r="G60" s="9"/>
    </row>
    <row r="61" spans="1:7" ht="15.75" x14ac:dyDescent="0.25">
      <c r="A61" s="49" t="s">
        <v>54</v>
      </c>
      <c r="B61" s="10"/>
      <c r="C61" s="10">
        <v>0.14000000000000001</v>
      </c>
      <c r="D61" s="10">
        <v>0.04</v>
      </c>
      <c r="E61" s="10">
        <v>0.61</v>
      </c>
      <c r="F61" s="10">
        <v>3.36</v>
      </c>
      <c r="G61" s="9"/>
    </row>
    <row r="62" spans="1:7" ht="15.75" x14ac:dyDescent="0.25">
      <c r="A62" s="49" t="s">
        <v>55</v>
      </c>
      <c r="B62" s="10"/>
      <c r="C62" s="10">
        <v>12.6</v>
      </c>
      <c r="D62" s="10">
        <v>16.8</v>
      </c>
      <c r="E62" s="10">
        <v>0</v>
      </c>
      <c r="F62" s="10">
        <v>168</v>
      </c>
      <c r="G62" s="9"/>
    </row>
    <row r="63" spans="1:7" ht="15.75" x14ac:dyDescent="0.25">
      <c r="A63" s="49" t="s">
        <v>56</v>
      </c>
      <c r="B63" s="10"/>
      <c r="C63" s="10">
        <v>4</v>
      </c>
      <c r="D63" s="10">
        <v>6.5</v>
      </c>
      <c r="E63" s="10">
        <v>1.5</v>
      </c>
      <c r="F63" s="10">
        <v>83</v>
      </c>
      <c r="G63" s="9"/>
    </row>
    <row r="64" spans="1:7" ht="15.75" x14ac:dyDescent="0.25">
      <c r="A64" s="49" t="s">
        <v>562</v>
      </c>
      <c r="B64" s="10"/>
      <c r="C64" s="10">
        <v>1.5</v>
      </c>
      <c r="D64" s="10">
        <v>4.05</v>
      </c>
      <c r="E64" s="10">
        <v>0.42</v>
      </c>
      <c r="F64" s="10">
        <v>44.1</v>
      </c>
      <c r="G64" s="9"/>
    </row>
    <row r="65" spans="1:7" ht="15.75" x14ac:dyDescent="0.25">
      <c r="A65" s="49" t="s">
        <v>57</v>
      </c>
      <c r="B65" s="10"/>
      <c r="C65" s="10">
        <v>3.6</v>
      </c>
      <c r="D65" s="10">
        <v>10.5</v>
      </c>
      <c r="E65" s="10">
        <v>0</v>
      </c>
      <c r="F65" s="10">
        <v>108</v>
      </c>
      <c r="G65" s="9"/>
    </row>
    <row r="66" spans="1:7" ht="15.75" x14ac:dyDescent="0.25">
      <c r="A66" s="49" t="s">
        <v>563</v>
      </c>
      <c r="B66" s="10"/>
      <c r="C66" s="10">
        <v>7.5</v>
      </c>
      <c r="D66" s="10">
        <v>22.5</v>
      </c>
      <c r="E66" s="10">
        <v>0</v>
      </c>
      <c r="F66" s="10">
        <v>232.5</v>
      </c>
      <c r="G66" s="9"/>
    </row>
    <row r="67" spans="1:7" ht="15.75" x14ac:dyDescent="0.25">
      <c r="A67" s="49" t="s">
        <v>58</v>
      </c>
      <c r="B67" s="9"/>
      <c r="C67" s="9">
        <v>0.98</v>
      </c>
      <c r="D67" s="9">
        <v>4.47</v>
      </c>
      <c r="E67" s="9">
        <v>2.58</v>
      </c>
      <c r="F67" s="9">
        <v>45.9</v>
      </c>
      <c r="G67" s="9"/>
    </row>
    <row r="68" spans="1:7" ht="15.75" x14ac:dyDescent="0.25">
      <c r="A68" s="49" t="s">
        <v>59</v>
      </c>
      <c r="B68" s="9"/>
      <c r="C68" s="9">
        <v>11.02</v>
      </c>
      <c r="D68" s="9">
        <v>12.16</v>
      </c>
      <c r="E68" s="9">
        <v>93.8</v>
      </c>
      <c r="F68" s="9">
        <v>520.6</v>
      </c>
      <c r="G68" s="50"/>
    </row>
    <row r="69" spans="1:7" ht="15.75" x14ac:dyDescent="0.25">
      <c r="A69" s="3" t="s">
        <v>60</v>
      </c>
      <c r="B69" s="51">
        <v>260</v>
      </c>
      <c r="C69" s="5">
        <f>SUM(C70:C73)</f>
        <v>30.14</v>
      </c>
      <c r="D69" s="5">
        <f>SUM(D70:D73)</f>
        <v>40.67</v>
      </c>
      <c r="E69" s="5">
        <f>SUM(E70:E73)</f>
        <v>96.99</v>
      </c>
      <c r="F69" s="5">
        <f>SUM(F70:F73)</f>
        <v>809.86</v>
      </c>
      <c r="G69" s="6">
        <f>F69/B69*100</f>
        <v>311.48461538461538</v>
      </c>
    </row>
    <row r="70" spans="1:7" ht="15.75" x14ac:dyDescent="0.25">
      <c r="A70" s="7" t="s">
        <v>55</v>
      </c>
      <c r="B70" s="20"/>
      <c r="C70" s="9">
        <v>18</v>
      </c>
      <c r="D70" s="9">
        <v>24</v>
      </c>
      <c r="E70" s="9">
        <v>0</v>
      </c>
      <c r="F70" s="9">
        <v>240</v>
      </c>
      <c r="G70" s="9"/>
    </row>
    <row r="71" spans="1:7" ht="15.75" x14ac:dyDescent="0.25">
      <c r="A71" s="49" t="s">
        <v>54</v>
      </c>
      <c r="B71" s="9"/>
      <c r="C71" s="9">
        <v>0.14000000000000001</v>
      </c>
      <c r="D71" s="9">
        <v>0.04</v>
      </c>
      <c r="E71" s="9">
        <v>0.61</v>
      </c>
      <c r="F71" s="9">
        <v>3.36</v>
      </c>
      <c r="G71" s="9"/>
    </row>
    <row r="72" spans="1:7" ht="15.75" x14ac:dyDescent="0.25">
      <c r="A72" s="49" t="s">
        <v>58</v>
      </c>
      <c r="B72" s="9"/>
      <c r="C72" s="9">
        <v>0.98</v>
      </c>
      <c r="D72" s="9">
        <v>4.47</v>
      </c>
      <c r="E72" s="9">
        <v>2.58</v>
      </c>
      <c r="F72" s="9">
        <v>45.9</v>
      </c>
      <c r="G72" s="9"/>
    </row>
    <row r="73" spans="1:7" ht="15.75" x14ac:dyDescent="0.25">
      <c r="A73" s="49" t="s">
        <v>59</v>
      </c>
      <c r="B73" s="9"/>
      <c r="C73" s="10">
        <v>11.02</v>
      </c>
      <c r="D73" s="9">
        <v>12.16</v>
      </c>
      <c r="E73" s="9">
        <v>93.8</v>
      </c>
      <c r="F73" s="9">
        <v>520.6</v>
      </c>
      <c r="G73" s="9"/>
    </row>
    <row r="74" spans="1:7" ht="15.75" x14ac:dyDescent="0.25">
      <c r="A74" s="3" t="s">
        <v>61</v>
      </c>
      <c r="B74" s="51">
        <v>320</v>
      </c>
      <c r="C74" s="51">
        <f>SUM(C75:C79)</f>
        <v>36.14</v>
      </c>
      <c r="D74" s="51">
        <f>SUM(D75:D79)</f>
        <v>56.870000000000005</v>
      </c>
      <c r="E74" s="5">
        <f>SUM(E75:E79)</f>
        <v>98.120999999999995</v>
      </c>
      <c r="F74" s="51">
        <f>SUM(F75:F79)</f>
        <v>986.26</v>
      </c>
      <c r="G74" s="6">
        <f>F74/B74*100</f>
        <v>308.20625000000001</v>
      </c>
    </row>
    <row r="75" spans="1:7" ht="15.75" x14ac:dyDescent="0.25">
      <c r="A75" s="7" t="s">
        <v>55</v>
      </c>
      <c r="B75" s="20"/>
      <c r="C75" s="9">
        <v>18</v>
      </c>
      <c r="D75" s="9">
        <v>24</v>
      </c>
      <c r="E75" s="9">
        <v>0</v>
      </c>
      <c r="F75" s="9">
        <v>240</v>
      </c>
      <c r="G75" s="9"/>
    </row>
    <row r="76" spans="1:7" ht="15.75" x14ac:dyDescent="0.25">
      <c r="A76" s="49" t="s">
        <v>562</v>
      </c>
      <c r="B76" s="9"/>
      <c r="C76" s="9">
        <v>6</v>
      </c>
      <c r="D76" s="9">
        <v>16.2</v>
      </c>
      <c r="E76" s="9">
        <v>1.68</v>
      </c>
      <c r="F76" s="9">
        <v>176.4</v>
      </c>
      <c r="G76" s="9"/>
    </row>
    <row r="77" spans="1:7" ht="15.75" x14ac:dyDescent="0.25">
      <c r="A77" s="49" t="s">
        <v>58</v>
      </c>
      <c r="B77" s="9"/>
      <c r="C77" s="9">
        <v>0.98</v>
      </c>
      <c r="D77" s="9">
        <v>4.47</v>
      </c>
      <c r="E77" s="9">
        <v>2.58</v>
      </c>
      <c r="F77" s="9">
        <v>45.9</v>
      </c>
      <c r="G77" s="9"/>
    </row>
    <row r="78" spans="1:7" ht="15.75" x14ac:dyDescent="0.25">
      <c r="A78" s="49" t="s">
        <v>54</v>
      </c>
      <c r="B78" s="9"/>
      <c r="C78" s="9">
        <v>0.14000000000000001</v>
      </c>
      <c r="D78" s="9">
        <v>0.04</v>
      </c>
      <c r="E78" s="9">
        <v>6.0999999999999999E-2</v>
      </c>
      <c r="F78" s="9">
        <v>3.36</v>
      </c>
      <c r="G78" s="9"/>
    </row>
    <row r="79" spans="1:7" ht="15.75" x14ac:dyDescent="0.25">
      <c r="A79" s="49" t="s">
        <v>59</v>
      </c>
      <c r="B79" s="9"/>
      <c r="C79" s="9">
        <v>11.02</v>
      </c>
      <c r="D79" s="9">
        <v>12.16</v>
      </c>
      <c r="E79" s="9">
        <v>93.8</v>
      </c>
      <c r="F79" s="9">
        <v>520.6</v>
      </c>
      <c r="G79" s="9"/>
    </row>
    <row r="80" spans="1:7" ht="15.75" x14ac:dyDescent="0.25">
      <c r="A80" s="3" t="s">
        <v>62</v>
      </c>
      <c r="B80" s="51">
        <v>260</v>
      </c>
      <c r="C80" s="5">
        <f>SUM(C81:C87)</f>
        <v>37.980000000000004</v>
      </c>
      <c r="D80" s="5">
        <f>SUM(D81:D87)</f>
        <v>47.660000000000004</v>
      </c>
      <c r="E80" s="5">
        <f>SUM(E81:E87)</f>
        <v>96.280999999999992</v>
      </c>
      <c r="F80" s="5">
        <f>SUM(F81:F87)</f>
        <v>941.72</v>
      </c>
      <c r="G80" s="6">
        <f>F80/B80*100</f>
        <v>362.2</v>
      </c>
    </row>
    <row r="81" spans="1:7" ht="15.75" x14ac:dyDescent="0.25">
      <c r="A81" s="49" t="s">
        <v>63</v>
      </c>
      <c r="B81" s="9"/>
      <c r="C81" s="9">
        <v>3.86</v>
      </c>
      <c r="D81" s="9">
        <v>6.28</v>
      </c>
      <c r="E81" s="9">
        <v>0.4</v>
      </c>
      <c r="F81" s="9">
        <v>73.56</v>
      </c>
      <c r="G81" s="9"/>
    </row>
    <row r="82" spans="1:7" ht="15.75" x14ac:dyDescent="0.25">
      <c r="A82" s="49" t="s">
        <v>54</v>
      </c>
      <c r="B82" s="9"/>
      <c r="C82" s="9">
        <v>0.14000000000000001</v>
      </c>
      <c r="D82" s="9">
        <v>0.04</v>
      </c>
      <c r="E82" s="10">
        <v>6.0999999999999999E-2</v>
      </c>
      <c r="F82" s="9">
        <v>3.36</v>
      </c>
      <c r="G82" s="9"/>
    </row>
    <row r="83" spans="1:7" ht="15.75" x14ac:dyDescent="0.25">
      <c r="A83" s="7" t="s">
        <v>64</v>
      </c>
      <c r="B83" s="20"/>
      <c r="C83" s="9">
        <v>9.9</v>
      </c>
      <c r="D83" s="9">
        <v>7.68</v>
      </c>
      <c r="E83" s="9">
        <v>0.96</v>
      </c>
      <c r="F83" s="9">
        <v>108.6</v>
      </c>
      <c r="G83" s="9"/>
    </row>
    <row r="84" spans="1:7" ht="15.75" x14ac:dyDescent="0.25">
      <c r="A84" s="7" t="s">
        <v>55</v>
      </c>
      <c r="B84" s="20"/>
      <c r="C84" s="9">
        <v>5.4</v>
      </c>
      <c r="D84" s="9">
        <v>7.2</v>
      </c>
      <c r="E84" s="9">
        <v>0</v>
      </c>
      <c r="F84" s="9">
        <v>72</v>
      </c>
      <c r="G84" s="9"/>
    </row>
    <row r="85" spans="1:7" ht="15.75" x14ac:dyDescent="0.25">
      <c r="A85" s="49" t="s">
        <v>10</v>
      </c>
      <c r="B85" s="9"/>
      <c r="C85" s="9">
        <v>0.46</v>
      </c>
      <c r="D85" s="9">
        <v>4.4000000000000004</v>
      </c>
      <c r="E85" s="9">
        <v>0.76</v>
      </c>
      <c r="F85" s="9">
        <v>44.5</v>
      </c>
      <c r="G85" s="9"/>
    </row>
    <row r="86" spans="1:7" ht="15.75" x14ac:dyDescent="0.25">
      <c r="A86" s="49" t="s">
        <v>59</v>
      </c>
      <c r="B86" s="9"/>
      <c r="C86" s="9">
        <v>11.02</v>
      </c>
      <c r="D86" s="9">
        <v>12.16</v>
      </c>
      <c r="E86" s="9">
        <v>93.8</v>
      </c>
      <c r="F86" s="9">
        <v>520.6</v>
      </c>
      <c r="G86" s="9"/>
    </row>
    <row r="87" spans="1:7" ht="15.75" x14ac:dyDescent="0.25">
      <c r="A87" s="49" t="s">
        <v>65</v>
      </c>
      <c r="B87" s="9"/>
      <c r="C87" s="9">
        <v>7.2</v>
      </c>
      <c r="D87" s="9">
        <v>9.9</v>
      </c>
      <c r="E87" s="9">
        <v>0.3</v>
      </c>
      <c r="F87" s="9">
        <v>119.1</v>
      </c>
      <c r="G87" s="9"/>
    </row>
    <row r="88" spans="1:7" ht="15.75" x14ac:dyDescent="0.25">
      <c r="A88" s="3" t="s">
        <v>66</v>
      </c>
      <c r="B88" s="51">
        <v>362</v>
      </c>
      <c r="C88" s="51">
        <f>SUM(C89:C96)</f>
        <v>49.89</v>
      </c>
      <c r="D88" s="51">
        <f>SUM(D89:D96)</f>
        <v>33.799999999999997</v>
      </c>
      <c r="E88" s="51">
        <f>SUM(E89:E96)</f>
        <v>98.6</v>
      </c>
      <c r="F88" s="51">
        <f>SUM(F89:F96)</f>
        <v>862.1</v>
      </c>
      <c r="G88" s="6">
        <f>F88/B88*100</f>
        <v>238.14917127071823</v>
      </c>
    </row>
    <row r="89" spans="1:7" ht="15.75" x14ac:dyDescent="0.25">
      <c r="A89" s="7" t="s">
        <v>64</v>
      </c>
      <c r="B89" s="20"/>
      <c r="C89" s="9">
        <v>4.95</v>
      </c>
      <c r="D89" s="9">
        <v>3.84</v>
      </c>
      <c r="E89" s="9">
        <v>0.48</v>
      </c>
      <c r="F89" s="9">
        <v>54.3</v>
      </c>
      <c r="G89" s="9"/>
    </row>
    <row r="90" spans="1:7" ht="15.75" x14ac:dyDescent="0.25">
      <c r="A90" s="49" t="s">
        <v>67</v>
      </c>
      <c r="B90" s="9"/>
      <c r="C90" s="9">
        <v>0.24</v>
      </c>
      <c r="D90" s="9">
        <v>0.03</v>
      </c>
      <c r="E90" s="9">
        <v>0.84</v>
      </c>
      <c r="F90" s="9">
        <v>4.5</v>
      </c>
      <c r="G90" s="9"/>
    </row>
    <row r="91" spans="1:7" ht="15.75" x14ac:dyDescent="0.25">
      <c r="A91" s="49" t="s">
        <v>68</v>
      </c>
      <c r="B91" s="9"/>
      <c r="C91" s="9">
        <v>0.6</v>
      </c>
      <c r="D91" s="9">
        <v>0.1</v>
      </c>
      <c r="E91" s="9">
        <v>0.9</v>
      </c>
      <c r="F91" s="9">
        <v>6.8</v>
      </c>
      <c r="G91" s="9"/>
    </row>
    <row r="92" spans="1:7" ht="15.75" x14ac:dyDescent="0.25">
      <c r="A92" s="49" t="s">
        <v>69</v>
      </c>
      <c r="B92" s="9"/>
      <c r="C92" s="9">
        <v>23.1</v>
      </c>
      <c r="D92" s="9">
        <v>1.2</v>
      </c>
      <c r="E92" s="9">
        <v>0</v>
      </c>
      <c r="F92" s="9">
        <v>110</v>
      </c>
      <c r="G92" s="9"/>
    </row>
    <row r="93" spans="1:7" ht="15.75" x14ac:dyDescent="0.25">
      <c r="A93" s="7" t="s">
        <v>55</v>
      </c>
      <c r="B93" s="20"/>
      <c r="C93" s="9">
        <v>9</v>
      </c>
      <c r="D93" s="9">
        <v>12</v>
      </c>
      <c r="E93" s="9">
        <v>0</v>
      </c>
      <c r="F93" s="9">
        <v>120</v>
      </c>
      <c r="G93" s="9"/>
    </row>
    <row r="94" spans="1:7" ht="15.75" x14ac:dyDescent="0.25">
      <c r="A94" s="49" t="s">
        <v>70</v>
      </c>
      <c r="B94" s="9"/>
      <c r="C94" s="9">
        <v>0.98</v>
      </c>
      <c r="D94" s="9">
        <v>4.47</v>
      </c>
      <c r="E94" s="9">
        <v>2.58</v>
      </c>
      <c r="F94" s="9">
        <v>45.9</v>
      </c>
      <c r="G94" s="9"/>
    </row>
    <row r="95" spans="1:7" ht="15.75" x14ac:dyDescent="0.25">
      <c r="A95" s="49" t="s">
        <v>59</v>
      </c>
      <c r="B95" s="9"/>
      <c r="C95" s="9">
        <v>11.02</v>
      </c>
      <c r="D95" s="9">
        <v>12.16</v>
      </c>
      <c r="E95" s="9">
        <v>93.8</v>
      </c>
      <c r="F95" s="9">
        <v>520.6</v>
      </c>
      <c r="G95" s="9"/>
    </row>
    <row r="96" spans="1:7" ht="15.75" x14ac:dyDescent="0.25">
      <c r="A96" s="49" t="s">
        <v>18</v>
      </c>
      <c r="B96" s="9"/>
      <c r="C96" s="9">
        <v>0</v>
      </c>
      <c r="D96" s="9">
        <v>0</v>
      </c>
      <c r="E96" s="9">
        <v>0</v>
      </c>
      <c r="F96" s="9">
        <v>0</v>
      </c>
      <c r="G96" s="9"/>
    </row>
    <row r="97" spans="1:7" ht="15.75" x14ac:dyDescent="0.25">
      <c r="A97" s="3" t="s">
        <v>71</v>
      </c>
      <c r="B97" s="52">
        <v>450</v>
      </c>
      <c r="C97" s="52">
        <f>SUM(C98:C106)</f>
        <v>53.41</v>
      </c>
      <c r="D97" s="52">
        <f>SUM(D98:D106)</f>
        <v>72.95</v>
      </c>
      <c r="E97" s="52">
        <f>SUM(E98:E106)</f>
        <v>105.25</v>
      </c>
      <c r="F97" s="52">
        <f>SUM(F98:F106)</f>
        <v>1101.9099999999999</v>
      </c>
      <c r="G97" s="6">
        <f>F97/B97*100</f>
        <v>244.86888888888885</v>
      </c>
    </row>
    <row r="98" spans="1:7" ht="15.75" x14ac:dyDescent="0.25">
      <c r="A98" s="33" t="s">
        <v>54</v>
      </c>
      <c r="B98" s="32"/>
      <c r="C98" s="32">
        <v>0.14000000000000001</v>
      </c>
      <c r="D98" s="32">
        <v>0.04</v>
      </c>
      <c r="E98" s="32">
        <v>0.61</v>
      </c>
      <c r="F98" s="32">
        <v>2.5099999999999998</v>
      </c>
      <c r="G98" s="53"/>
    </row>
    <row r="99" spans="1:7" ht="15.75" x14ac:dyDescent="0.25">
      <c r="A99" s="33" t="s">
        <v>72</v>
      </c>
      <c r="B99" s="32"/>
      <c r="C99" s="32">
        <v>0.28000000000000003</v>
      </c>
      <c r="D99" s="32">
        <v>0</v>
      </c>
      <c r="E99" s="32">
        <v>7.15</v>
      </c>
      <c r="F99" s="32">
        <v>29.75</v>
      </c>
      <c r="G99" s="53"/>
    </row>
    <row r="100" spans="1:7" ht="15.75" x14ac:dyDescent="0.25">
      <c r="A100" s="33" t="s">
        <v>73</v>
      </c>
      <c r="B100" s="32"/>
      <c r="C100" s="32">
        <v>0.24</v>
      </c>
      <c r="D100" s="32">
        <v>0.03</v>
      </c>
      <c r="E100" s="32">
        <v>0.51</v>
      </c>
      <c r="F100" s="32">
        <v>3.3</v>
      </c>
      <c r="G100" s="53"/>
    </row>
    <row r="101" spans="1:7" ht="15.75" x14ac:dyDescent="0.25">
      <c r="A101" s="33" t="s">
        <v>74</v>
      </c>
      <c r="B101" s="32"/>
      <c r="C101" s="32">
        <v>6.3</v>
      </c>
      <c r="D101" s="32">
        <v>8.4</v>
      </c>
      <c r="E101" s="32">
        <v>0.6</v>
      </c>
      <c r="F101" s="32">
        <v>103.2</v>
      </c>
      <c r="G101" s="53"/>
    </row>
    <row r="102" spans="1:7" ht="15.75" x14ac:dyDescent="0.25">
      <c r="A102" s="33" t="s">
        <v>75</v>
      </c>
      <c r="B102" s="32"/>
      <c r="C102" s="32">
        <v>11.5</v>
      </c>
      <c r="D102" s="32">
        <v>18</v>
      </c>
      <c r="E102" s="32">
        <v>0</v>
      </c>
      <c r="F102" s="32">
        <v>84.2</v>
      </c>
      <c r="G102" s="53"/>
    </row>
    <row r="103" spans="1:7" ht="15.75" x14ac:dyDescent="0.25">
      <c r="A103" s="33" t="s">
        <v>76</v>
      </c>
      <c r="B103" s="32"/>
      <c r="C103" s="32">
        <v>4.95</v>
      </c>
      <c r="D103" s="32">
        <v>5.85</v>
      </c>
      <c r="E103" s="32">
        <v>0</v>
      </c>
      <c r="F103" s="32">
        <v>72.45</v>
      </c>
      <c r="G103" s="53"/>
    </row>
    <row r="104" spans="1:7" ht="15.75" x14ac:dyDescent="0.25">
      <c r="A104" s="33" t="s">
        <v>55</v>
      </c>
      <c r="B104" s="32"/>
      <c r="C104" s="32">
        <v>18</v>
      </c>
      <c r="D104" s="32">
        <v>24</v>
      </c>
      <c r="E104" s="32">
        <v>0</v>
      </c>
      <c r="F104" s="32">
        <v>240</v>
      </c>
      <c r="G104" s="53"/>
    </row>
    <row r="105" spans="1:7" ht="15.75" x14ac:dyDescent="0.25">
      <c r="A105" s="33" t="s">
        <v>58</v>
      </c>
      <c r="B105" s="32"/>
      <c r="C105" s="32">
        <v>0.98</v>
      </c>
      <c r="D105" s="32">
        <v>4.47</v>
      </c>
      <c r="E105" s="32">
        <v>2.58</v>
      </c>
      <c r="F105" s="32">
        <v>45.9</v>
      </c>
      <c r="G105" s="53"/>
    </row>
    <row r="106" spans="1:7" ht="15.75" x14ac:dyDescent="0.25">
      <c r="A106" s="33" t="s">
        <v>59</v>
      </c>
      <c r="B106" s="32"/>
      <c r="C106" s="32">
        <v>11.02</v>
      </c>
      <c r="D106" s="32">
        <v>12.16</v>
      </c>
      <c r="E106" s="32">
        <v>93.8</v>
      </c>
      <c r="F106" s="32">
        <v>520.6</v>
      </c>
      <c r="G106" s="53"/>
    </row>
    <row r="107" spans="1:7" ht="21" x14ac:dyDescent="0.25">
      <c r="A107" s="188" t="s">
        <v>77</v>
      </c>
      <c r="B107" s="189"/>
      <c r="C107" s="189"/>
      <c r="D107" s="189"/>
      <c r="E107" s="189"/>
      <c r="F107" s="189"/>
      <c r="G107" s="190"/>
    </row>
    <row r="108" spans="1:7" ht="15.75" x14ac:dyDescent="0.25">
      <c r="A108" s="3" t="s">
        <v>78</v>
      </c>
      <c r="B108" s="51">
        <v>562</v>
      </c>
      <c r="C108" s="5">
        <f>SUM(C109:C116)</f>
        <v>42.140000000000008</v>
      </c>
      <c r="D108" s="5">
        <f>SUM(D109:D116)</f>
        <v>85.77</v>
      </c>
      <c r="E108" s="5">
        <f>SUM(E109:E116)</f>
        <v>69.22999999999999</v>
      </c>
      <c r="F108" s="5">
        <f>SUM(F109:F116)</f>
        <v>1225.75</v>
      </c>
      <c r="G108" s="6">
        <f>F108/B108*100</f>
        <v>218.10498220640571</v>
      </c>
    </row>
    <row r="109" spans="1:7" ht="15.75" x14ac:dyDescent="0.25">
      <c r="A109" s="7" t="s">
        <v>79</v>
      </c>
      <c r="B109" s="19"/>
      <c r="C109" s="10">
        <v>28.8</v>
      </c>
      <c r="D109" s="9">
        <v>72</v>
      </c>
      <c r="E109" s="10">
        <v>0</v>
      </c>
      <c r="F109" s="9">
        <v>768</v>
      </c>
      <c r="G109" s="9"/>
    </row>
    <row r="110" spans="1:7" ht="15.75" x14ac:dyDescent="0.25">
      <c r="A110" s="7" t="s">
        <v>80</v>
      </c>
      <c r="B110" s="19"/>
      <c r="C110" s="10">
        <v>8.2799999999999994</v>
      </c>
      <c r="D110" s="10">
        <v>10.08</v>
      </c>
      <c r="E110" s="10">
        <v>56.4</v>
      </c>
      <c r="F110" s="9">
        <v>346.8</v>
      </c>
      <c r="G110" s="9"/>
    </row>
    <row r="111" spans="1:7" ht="15.75" x14ac:dyDescent="0.25">
      <c r="A111" s="7" t="s">
        <v>560</v>
      </c>
      <c r="B111" s="20"/>
      <c r="C111" s="9">
        <v>1.7</v>
      </c>
      <c r="D111" s="9">
        <v>0</v>
      </c>
      <c r="E111" s="9">
        <v>10.65</v>
      </c>
      <c r="F111" s="9">
        <v>60.5</v>
      </c>
      <c r="G111" s="9"/>
    </row>
    <row r="112" spans="1:7" ht="15.75" x14ac:dyDescent="0.25">
      <c r="A112" s="7" t="s">
        <v>81</v>
      </c>
      <c r="B112" s="20"/>
      <c r="C112" s="9">
        <v>2.7</v>
      </c>
      <c r="D112" s="9">
        <v>3.6</v>
      </c>
      <c r="E112" s="9">
        <v>0</v>
      </c>
      <c r="F112" s="10">
        <v>36</v>
      </c>
      <c r="G112" s="9"/>
    </row>
    <row r="113" spans="1:7" ht="15.75" x14ac:dyDescent="0.25">
      <c r="A113" s="7" t="s">
        <v>82</v>
      </c>
      <c r="B113" s="19"/>
      <c r="C113" s="10">
        <v>0.15</v>
      </c>
      <c r="D113" s="9">
        <v>0.06</v>
      </c>
      <c r="E113" s="10">
        <v>0</v>
      </c>
      <c r="F113" s="9">
        <v>3.4</v>
      </c>
      <c r="G113" s="9"/>
    </row>
    <row r="114" spans="1:7" ht="15.75" x14ac:dyDescent="0.25">
      <c r="A114" s="49" t="s">
        <v>83</v>
      </c>
      <c r="B114" s="9"/>
      <c r="C114" s="9">
        <v>0.24</v>
      </c>
      <c r="D114" s="9">
        <v>0</v>
      </c>
      <c r="E114" s="9">
        <v>1.1599999999999999</v>
      </c>
      <c r="F114" s="9">
        <v>5.6</v>
      </c>
      <c r="G114" s="9"/>
    </row>
    <row r="115" spans="1:7" ht="15.75" x14ac:dyDescent="0.25">
      <c r="A115" s="49" t="s">
        <v>561</v>
      </c>
      <c r="B115" s="9"/>
      <c r="C115" s="9">
        <v>0.14000000000000001</v>
      </c>
      <c r="D115" s="9">
        <v>0</v>
      </c>
      <c r="E115" s="9">
        <v>0.91</v>
      </c>
      <c r="F115" s="9">
        <v>4.2</v>
      </c>
      <c r="G115" s="9"/>
    </row>
    <row r="116" spans="1:7" ht="15.75" x14ac:dyDescent="0.25">
      <c r="A116" s="7" t="s">
        <v>84</v>
      </c>
      <c r="B116" s="20"/>
      <c r="C116" s="9">
        <v>0.13</v>
      </c>
      <c r="D116" s="9">
        <v>0.03</v>
      </c>
      <c r="E116" s="9">
        <v>0.11</v>
      </c>
      <c r="F116" s="10">
        <v>1.25</v>
      </c>
      <c r="G116" s="9"/>
    </row>
    <row r="117" spans="1:7" ht="15.75" x14ac:dyDescent="0.25">
      <c r="A117" s="3" t="s">
        <v>85</v>
      </c>
      <c r="B117" s="4">
        <v>400</v>
      </c>
      <c r="C117" s="5">
        <f>SUM(C118:C126)</f>
        <v>32.08</v>
      </c>
      <c r="D117" s="5">
        <f>SUM(D118:D126)</f>
        <v>62.98</v>
      </c>
      <c r="E117" s="5">
        <f>SUM(E118:E126)</f>
        <v>73.359999999999985</v>
      </c>
      <c r="F117" s="5">
        <f>SUM(F118:F126)</f>
        <v>985.48</v>
      </c>
      <c r="G117" s="6">
        <f>F117/B117*100</f>
        <v>246.37000000000003</v>
      </c>
    </row>
    <row r="118" spans="1:7" ht="15.75" x14ac:dyDescent="0.25">
      <c r="A118" s="7" t="s">
        <v>80</v>
      </c>
      <c r="B118" s="20"/>
      <c r="C118" s="9">
        <v>8.2799999999999994</v>
      </c>
      <c r="D118" s="9">
        <v>10.08</v>
      </c>
      <c r="E118" s="9">
        <v>56.4</v>
      </c>
      <c r="F118" s="10">
        <v>346.8</v>
      </c>
      <c r="G118" s="9"/>
    </row>
    <row r="119" spans="1:7" ht="15.75" x14ac:dyDescent="0.25">
      <c r="A119" s="7" t="s">
        <v>86</v>
      </c>
      <c r="B119" s="20"/>
      <c r="C119" s="9">
        <v>14.4</v>
      </c>
      <c r="D119" s="9">
        <v>36</v>
      </c>
      <c r="E119" s="9">
        <v>0</v>
      </c>
      <c r="F119" s="10">
        <v>384</v>
      </c>
      <c r="G119" s="9"/>
    </row>
    <row r="120" spans="1:7" ht="15.75" x14ac:dyDescent="0.25">
      <c r="A120" s="49" t="s">
        <v>87</v>
      </c>
      <c r="B120" s="9"/>
      <c r="C120" s="9">
        <v>2.4</v>
      </c>
      <c r="D120" s="9">
        <v>3.3</v>
      </c>
      <c r="E120" s="9">
        <v>0.1</v>
      </c>
      <c r="F120" s="9">
        <v>39.700000000000003</v>
      </c>
      <c r="G120" s="9"/>
    </row>
    <row r="121" spans="1:7" ht="15.75" x14ac:dyDescent="0.25">
      <c r="A121" s="49" t="s">
        <v>88</v>
      </c>
      <c r="B121" s="9"/>
      <c r="C121" s="9">
        <v>0.14000000000000001</v>
      </c>
      <c r="D121" s="9">
        <v>0</v>
      </c>
      <c r="E121" s="9">
        <v>0.91</v>
      </c>
      <c r="F121" s="9">
        <v>4.2</v>
      </c>
      <c r="G121" s="9"/>
    </row>
    <row r="122" spans="1:7" ht="15.75" x14ac:dyDescent="0.25">
      <c r="A122" s="49" t="s">
        <v>89</v>
      </c>
      <c r="B122" s="9"/>
      <c r="C122" s="9">
        <v>0.56000000000000005</v>
      </c>
      <c r="D122" s="9">
        <v>0</v>
      </c>
      <c r="E122" s="9">
        <v>0.26</v>
      </c>
      <c r="F122" s="9">
        <v>3.28</v>
      </c>
      <c r="G122" s="9"/>
    </row>
    <row r="123" spans="1:7" ht="15.75" x14ac:dyDescent="0.25">
      <c r="A123" s="49" t="s">
        <v>90</v>
      </c>
      <c r="B123" s="9"/>
      <c r="C123" s="9">
        <v>0.24</v>
      </c>
      <c r="D123" s="9">
        <v>0</v>
      </c>
      <c r="E123" s="9">
        <v>1.1599999999999999</v>
      </c>
      <c r="F123" s="9">
        <v>5.6</v>
      </c>
      <c r="G123" s="9"/>
    </row>
    <row r="124" spans="1:7" ht="15.75" x14ac:dyDescent="0.25">
      <c r="A124" s="49" t="s">
        <v>91</v>
      </c>
      <c r="B124" s="9"/>
      <c r="C124" s="9">
        <v>5.6</v>
      </c>
      <c r="D124" s="9">
        <v>11.1</v>
      </c>
      <c r="E124" s="9">
        <v>9.4</v>
      </c>
      <c r="F124" s="10">
        <v>159</v>
      </c>
      <c r="G124" s="9"/>
    </row>
    <row r="125" spans="1:7" ht="15.75" x14ac:dyDescent="0.25">
      <c r="A125" s="49" t="s">
        <v>92</v>
      </c>
      <c r="B125" s="9"/>
      <c r="C125" s="9">
        <v>0.18</v>
      </c>
      <c r="D125" s="9">
        <v>0.1</v>
      </c>
      <c r="E125" s="9">
        <v>2.2200000000000002</v>
      </c>
      <c r="F125" s="9">
        <v>9.3000000000000007</v>
      </c>
      <c r="G125" s="9"/>
    </row>
    <row r="126" spans="1:7" ht="15.75" x14ac:dyDescent="0.25">
      <c r="A126" s="49" t="s">
        <v>93</v>
      </c>
      <c r="B126" s="10"/>
      <c r="C126" s="10">
        <v>0.28000000000000003</v>
      </c>
      <c r="D126" s="9">
        <v>2.4</v>
      </c>
      <c r="E126" s="10">
        <v>2.91</v>
      </c>
      <c r="F126" s="9">
        <v>33.6</v>
      </c>
      <c r="G126" s="9"/>
    </row>
    <row r="127" spans="1:7" ht="15.75" x14ac:dyDescent="0.25">
      <c r="A127" s="3" t="s">
        <v>94</v>
      </c>
      <c r="B127" s="51">
        <v>504</v>
      </c>
      <c r="C127" s="51">
        <f>SUM(C128:C135)</f>
        <v>45.74</v>
      </c>
      <c r="D127" s="51">
        <f>SUM(D128:D135)</f>
        <v>103.98</v>
      </c>
      <c r="E127" s="51">
        <f>SUM(E128:E135)</f>
        <v>91.19</v>
      </c>
      <c r="F127" s="51">
        <f>SUM(F128:F135)</f>
        <v>1480.3799999999999</v>
      </c>
      <c r="G127" s="6">
        <f>F127/B127*100</f>
        <v>293.72619047619042</v>
      </c>
    </row>
    <row r="128" spans="1:7" ht="15.75" x14ac:dyDescent="0.25">
      <c r="A128" s="49" t="s">
        <v>95</v>
      </c>
      <c r="B128" s="9"/>
      <c r="C128" s="9">
        <v>0.12</v>
      </c>
      <c r="D128" s="9">
        <v>0.06</v>
      </c>
      <c r="E128" s="9">
        <v>30.6</v>
      </c>
      <c r="F128" s="9">
        <v>120</v>
      </c>
      <c r="G128" s="9"/>
    </row>
    <row r="129" spans="1:7" ht="15.75" x14ac:dyDescent="0.25">
      <c r="A129" s="49" t="s">
        <v>96</v>
      </c>
      <c r="B129" s="9"/>
      <c r="C129" s="9">
        <v>21</v>
      </c>
      <c r="D129" s="9">
        <v>23</v>
      </c>
      <c r="E129" s="9">
        <v>0</v>
      </c>
      <c r="F129" s="9">
        <v>291</v>
      </c>
      <c r="G129" s="9"/>
    </row>
    <row r="130" spans="1:7" ht="15.75" x14ac:dyDescent="0.25">
      <c r="A130" s="49" t="s">
        <v>90</v>
      </c>
      <c r="B130" s="9"/>
      <c r="C130" s="9">
        <v>0.24</v>
      </c>
      <c r="D130" s="9">
        <v>0</v>
      </c>
      <c r="E130" s="9">
        <v>1.1599999999999999</v>
      </c>
      <c r="F130" s="10">
        <v>5.6</v>
      </c>
      <c r="G130" s="9"/>
    </row>
    <row r="131" spans="1:7" ht="15.75" x14ac:dyDescent="0.25">
      <c r="A131" s="49" t="s">
        <v>97</v>
      </c>
      <c r="B131" s="9"/>
      <c r="C131" s="9">
        <v>0.1</v>
      </c>
      <c r="D131" s="9">
        <v>0</v>
      </c>
      <c r="E131" s="9">
        <v>0.2</v>
      </c>
      <c r="F131" s="9">
        <v>1.7</v>
      </c>
      <c r="G131" s="9"/>
    </row>
    <row r="132" spans="1:7" ht="15.75" x14ac:dyDescent="0.25">
      <c r="A132" s="49" t="s">
        <v>88</v>
      </c>
      <c r="B132" s="9"/>
      <c r="C132" s="9">
        <v>0.14000000000000001</v>
      </c>
      <c r="D132" s="9">
        <v>0</v>
      </c>
      <c r="E132" s="9">
        <v>0.91</v>
      </c>
      <c r="F132" s="9">
        <v>4.2</v>
      </c>
      <c r="G132" s="9"/>
    </row>
    <row r="133" spans="1:7" ht="15.75" x14ac:dyDescent="0.25">
      <c r="A133" s="49" t="s">
        <v>98</v>
      </c>
      <c r="B133" s="9"/>
      <c r="C133" s="9">
        <v>1.46</v>
      </c>
      <c r="D133" s="9">
        <v>34.840000000000003</v>
      </c>
      <c r="E133" s="9">
        <v>1.92</v>
      </c>
      <c r="F133" s="9">
        <v>327.08</v>
      </c>
      <c r="G133" s="9"/>
    </row>
    <row r="134" spans="1:7" ht="15.75" x14ac:dyDescent="0.25">
      <c r="A134" s="49" t="s">
        <v>86</v>
      </c>
      <c r="B134" s="9"/>
      <c r="C134" s="9">
        <v>14.4</v>
      </c>
      <c r="D134" s="9">
        <v>36</v>
      </c>
      <c r="E134" s="9">
        <v>0</v>
      </c>
      <c r="F134" s="9">
        <v>384</v>
      </c>
      <c r="G134" s="9"/>
    </row>
    <row r="135" spans="1:7" ht="15.75" x14ac:dyDescent="0.25">
      <c r="A135" s="49" t="s">
        <v>80</v>
      </c>
      <c r="B135" s="9"/>
      <c r="C135" s="9">
        <v>8.2799999999999994</v>
      </c>
      <c r="D135" s="9">
        <v>10.08</v>
      </c>
      <c r="E135" s="9">
        <v>56.4</v>
      </c>
      <c r="F135" s="9">
        <v>346.8</v>
      </c>
      <c r="G135" s="9"/>
    </row>
    <row r="136" spans="1:7" ht="15.75" x14ac:dyDescent="0.25">
      <c r="A136" s="54" t="s">
        <v>99</v>
      </c>
      <c r="B136" s="1">
        <v>515</v>
      </c>
      <c r="C136" s="52">
        <f>SUM(C137:C146)</f>
        <v>46.18</v>
      </c>
      <c r="D136" s="52">
        <f>SUM(D137:D146)</f>
        <v>93.58</v>
      </c>
      <c r="E136" s="52">
        <f>SUM(E137:E146)</f>
        <v>74.389999999999986</v>
      </c>
      <c r="F136" s="52">
        <f>SUM(F137:F146)</f>
        <v>1326.0000000000002</v>
      </c>
      <c r="G136" s="6">
        <f>F136/B136*100</f>
        <v>257.47572815533982</v>
      </c>
    </row>
    <row r="137" spans="1:7" ht="15.75" x14ac:dyDescent="0.25">
      <c r="A137" s="55" t="s">
        <v>72</v>
      </c>
      <c r="B137" s="56"/>
      <c r="C137" s="32">
        <v>0.06</v>
      </c>
      <c r="D137" s="32">
        <v>7.0000000000000007E-2</v>
      </c>
      <c r="E137" s="32">
        <v>3.94</v>
      </c>
      <c r="F137" s="32">
        <v>16.600000000000001</v>
      </c>
      <c r="G137" s="32"/>
    </row>
    <row r="138" spans="1:7" ht="15.75" x14ac:dyDescent="0.25">
      <c r="A138" s="55" t="s">
        <v>100</v>
      </c>
      <c r="B138" s="56"/>
      <c r="C138" s="32">
        <v>0.1</v>
      </c>
      <c r="D138" s="32">
        <v>0</v>
      </c>
      <c r="E138" s="32">
        <v>0.2</v>
      </c>
      <c r="F138" s="32">
        <v>1.7</v>
      </c>
      <c r="G138" s="32"/>
    </row>
    <row r="139" spans="1:7" ht="15.75" x14ac:dyDescent="0.25">
      <c r="A139" s="55" t="s">
        <v>101</v>
      </c>
      <c r="B139" s="56"/>
      <c r="C139" s="32">
        <v>0.33</v>
      </c>
      <c r="D139" s="32">
        <v>0.06</v>
      </c>
      <c r="E139" s="32">
        <v>1.1100000000000001</v>
      </c>
      <c r="F139" s="32">
        <v>6</v>
      </c>
      <c r="G139" s="32"/>
    </row>
    <row r="140" spans="1:7" ht="15.75" x14ac:dyDescent="0.25">
      <c r="A140" s="55" t="s">
        <v>86</v>
      </c>
      <c r="B140" s="56"/>
      <c r="C140" s="32">
        <v>14.4</v>
      </c>
      <c r="D140" s="32">
        <v>36</v>
      </c>
      <c r="E140" s="32">
        <v>0</v>
      </c>
      <c r="F140" s="32">
        <v>384</v>
      </c>
      <c r="G140" s="32"/>
    </row>
    <row r="141" spans="1:7" ht="15.75" x14ac:dyDescent="0.25">
      <c r="A141" s="55" t="s">
        <v>80</v>
      </c>
      <c r="B141" s="56"/>
      <c r="C141" s="32">
        <v>8.2799999999999994</v>
      </c>
      <c r="D141" s="32">
        <v>10.08</v>
      </c>
      <c r="E141" s="32">
        <v>56.4</v>
      </c>
      <c r="F141" s="32">
        <v>346.8</v>
      </c>
      <c r="G141" s="32"/>
    </row>
    <row r="142" spans="1:7" ht="15.75" x14ac:dyDescent="0.25">
      <c r="A142" s="55" t="s">
        <v>91</v>
      </c>
      <c r="B142" s="56"/>
      <c r="C142" s="32">
        <v>6.72</v>
      </c>
      <c r="D142" s="32">
        <v>13.32</v>
      </c>
      <c r="E142" s="32">
        <v>11.28</v>
      </c>
      <c r="F142" s="32">
        <v>190.8</v>
      </c>
      <c r="G142" s="32"/>
    </row>
    <row r="143" spans="1:7" ht="15.75" x14ac:dyDescent="0.25">
      <c r="A143" s="55" t="s">
        <v>22</v>
      </c>
      <c r="B143" s="56"/>
      <c r="C143" s="32">
        <v>6.35</v>
      </c>
      <c r="D143" s="32">
        <v>5.45</v>
      </c>
      <c r="E143" s="32">
        <v>0.35</v>
      </c>
      <c r="F143" s="32">
        <v>78.5</v>
      </c>
      <c r="G143" s="32"/>
    </row>
    <row r="144" spans="1:7" ht="15.75" x14ac:dyDescent="0.25">
      <c r="A144" s="55" t="s">
        <v>57</v>
      </c>
      <c r="B144" s="56"/>
      <c r="C144" s="32">
        <v>5</v>
      </c>
      <c r="D144" s="32">
        <v>22</v>
      </c>
      <c r="E144" s="32">
        <v>0</v>
      </c>
      <c r="F144" s="32">
        <v>218</v>
      </c>
      <c r="G144" s="32"/>
    </row>
    <row r="145" spans="1:7" ht="15.75" x14ac:dyDescent="0.25">
      <c r="A145" s="55" t="s">
        <v>87</v>
      </c>
      <c r="B145" s="56"/>
      <c r="C145" s="32">
        <v>4.8</v>
      </c>
      <c r="D145" s="32">
        <v>6.6</v>
      </c>
      <c r="E145" s="32">
        <v>0.2</v>
      </c>
      <c r="F145" s="32">
        <v>79.400000000000006</v>
      </c>
      <c r="G145" s="32"/>
    </row>
    <row r="146" spans="1:7" ht="15.75" x14ac:dyDescent="0.25">
      <c r="A146" s="55" t="s">
        <v>102</v>
      </c>
      <c r="B146" s="56"/>
      <c r="C146" s="32">
        <v>0.14000000000000001</v>
      </c>
      <c r="D146" s="32">
        <v>0</v>
      </c>
      <c r="E146" s="32">
        <v>0.91</v>
      </c>
      <c r="F146" s="32">
        <v>4.2</v>
      </c>
      <c r="G146" s="32"/>
    </row>
    <row r="147" spans="1:7" ht="15.75" x14ac:dyDescent="0.25">
      <c r="A147" s="3" t="s">
        <v>103</v>
      </c>
      <c r="B147" s="51">
        <v>348</v>
      </c>
      <c r="C147" s="51">
        <f>SUM(C148:C155)</f>
        <v>39.519999999999996</v>
      </c>
      <c r="D147" s="51">
        <f>SUM(D148:D155)</f>
        <v>44.15</v>
      </c>
      <c r="E147" s="51">
        <f>SUM(E148:E155)</f>
        <v>101.96</v>
      </c>
      <c r="F147" s="51">
        <f>SUM(F148:F155)</f>
        <v>1000.6000000000001</v>
      </c>
      <c r="G147" s="6">
        <f>F147/B147*100</f>
        <v>287.52873563218395</v>
      </c>
    </row>
    <row r="148" spans="1:7" ht="15.75" x14ac:dyDescent="0.25">
      <c r="A148" s="49" t="s">
        <v>88</v>
      </c>
      <c r="B148" s="9"/>
      <c r="C148" s="9">
        <v>0.14000000000000001</v>
      </c>
      <c r="D148" s="9">
        <v>0</v>
      </c>
      <c r="E148" s="9">
        <v>0.91</v>
      </c>
      <c r="F148" s="9">
        <v>4.2</v>
      </c>
      <c r="G148" s="9"/>
    </row>
    <row r="149" spans="1:7" ht="15.75" x14ac:dyDescent="0.25">
      <c r="A149" s="49" t="s">
        <v>104</v>
      </c>
      <c r="B149" s="9"/>
      <c r="C149" s="9">
        <v>27</v>
      </c>
      <c r="D149" s="9">
        <v>5.9</v>
      </c>
      <c r="E149" s="9">
        <v>35.200000000000003</v>
      </c>
      <c r="F149" s="9">
        <v>349.3</v>
      </c>
      <c r="G149" s="9"/>
    </row>
    <row r="150" spans="1:7" ht="15.75" x14ac:dyDescent="0.25">
      <c r="A150" s="49" t="s">
        <v>105</v>
      </c>
      <c r="B150" s="9"/>
      <c r="C150" s="9">
        <v>1.3</v>
      </c>
      <c r="D150" s="9">
        <v>24.8</v>
      </c>
      <c r="E150" s="9">
        <v>4.05</v>
      </c>
      <c r="F150" s="9">
        <v>236.7</v>
      </c>
      <c r="G150" s="9"/>
    </row>
    <row r="151" spans="1:7" ht="15.75" x14ac:dyDescent="0.25">
      <c r="A151" s="49" t="s">
        <v>106</v>
      </c>
      <c r="B151" s="9"/>
      <c r="C151" s="9">
        <v>0.06</v>
      </c>
      <c r="D151" s="9">
        <v>7.0000000000000007E-2</v>
      </c>
      <c r="E151" s="9">
        <v>3.94</v>
      </c>
      <c r="F151" s="9">
        <v>16.600000000000001</v>
      </c>
      <c r="G151" s="9"/>
    </row>
    <row r="152" spans="1:7" ht="15.75" x14ac:dyDescent="0.25">
      <c r="A152" s="49" t="s">
        <v>87</v>
      </c>
      <c r="B152" s="9"/>
      <c r="C152" s="9">
        <v>2.4</v>
      </c>
      <c r="D152" s="9">
        <v>3.3</v>
      </c>
      <c r="E152" s="9">
        <v>0.1</v>
      </c>
      <c r="F152" s="9">
        <v>39.700000000000003</v>
      </c>
      <c r="G152" s="9"/>
    </row>
    <row r="153" spans="1:7" ht="15.75" x14ac:dyDescent="0.25">
      <c r="A153" s="49" t="s">
        <v>90</v>
      </c>
      <c r="B153" s="9"/>
      <c r="C153" s="9">
        <v>0.24</v>
      </c>
      <c r="D153" s="9">
        <v>0</v>
      </c>
      <c r="E153" s="9">
        <v>1.1599999999999999</v>
      </c>
      <c r="F153" s="9">
        <v>5.6</v>
      </c>
      <c r="G153" s="9"/>
    </row>
    <row r="154" spans="1:7" ht="15.75" x14ac:dyDescent="0.25">
      <c r="A154" s="49" t="s">
        <v>80</v>
      </c>
      <c r="B154" s="9"/>
      <c r="C154" s="9">
        <v>8.2799999999999994</v>
      </c>
      <c r="D154" s="9">
        <v>10.08</v>
      </c>
      <c r="E154" s="9">
        <v>56.4</v>
      </c>
      <c r="F154" s="9">
        <v>346.8</v>
      </c>
      <c r="G154" s="9"/>
    </row>
    <row r="155" spans="1:7" ht="15.75" x14ac:dyDescent="0.25">
      <c r="A155" s="49" t="s">
        <v>97</v>
      </c>
      <c r="B155" s="9"/>
      <c r="C155" s="9">
        <v>0.1</v>
      </c>
      <c r="D155" s="9">
        <v>0</v>
      </c>
      <c r="E155" s="9">
        <v>0.2</v>
      </c>
      <c r="F155" s="9">
        <v>1.7</v>
      </c>
      <c r="G155" s="9"/>
    </row>
    <row r="156" spans="1:7" s="149" customFormat="1" ht="31.5" customHeight="1" x14ac:dyDescent="0.25">
      <c r="A156" s="130" t="s">
        <v>570</v>
      </c>
      <c r="B156" s="131">
        <f>SUM(B157:B164)</f>
        <v>320</v>
      </c>
      <c r="C156" s="132">
        <f>SUM(C157:C165)</f>
        <v>39.831250000000004</v>
      </c>
      <c r="D156" s="132">
        <f>SUM(D157:D165)</f>
        <v>65.271000000000015</v>
      </c>
      <c r="E156" s="132">
        <f>SUM(E157:E165)</f>
        <v>60.842500000000008</v>
      </c>
      <c r="F156" s="132">
        <f>SUM(F157:F165)</f>
        <v>989.85874999999987</v>
      </c>
      <c r="G156" s="133">
        <f>F156/B156*100</f>
        <v>309.33085937499999</v>
      </c>
    </row>
    <row r="157" spans="1:7" s="149" customFormat="1" ht="16.5" customHeight="1" x14ac:dyDescent="0.25">
      <c r="A157" s="59" t="s">
        <v>571</v>
      </c>
      <c r="B157" s="151">
        <v>125</v>
      </c>
      <c r="C157" s="134">
        <v>9.3242499999999993</v>
      </c>
      <c r="D157" s="134">
        <v>10.510000000000002</v>
      </c>
      <c r="E157" s="135">
        <v>52.627500000000005</v>
      </c>
      <c r="F157" s="136">
        <v>342.86874999999998</v>
      </c>
      <c r="G157" s="137"/>
    </row>
    <row r="158" spans="1:7" s="149" customFormat="1" ht="15.75" customHeight="1" x14ac:dyDescent="0.25">
      <c r="A158" s="59" t="s">
        <v>572</v>
      </c>
      <c r="B158" s="151">
        <v>115</v>
      </c>
      <c r="C158" s="138">
        <v>23.81</v>
      </c>
      <c r="D158" s="138">
        <v>39.56</v>
      </c>
      <c r="E158" s="139">
        <v>1.1499999999999999</v>
      </c>
      <c r="F158" s="136">
        <v>455.4</v>
      </c>
      <c r="G158" s="140"/>
    </row>
    <row r="159" spans="1:7" s="149" customFormat="1" ht="20.25" customHeight="1" x14ac:dyDescent="0.25">
      <c r="A159" s="59" t="s">
        <v>573</v>
      </c>
      <c r="B159" s="151">
        <v>30</v>
      </c>
      <c r="C159" s="138">
        <v>0.24</v>
      </c>
      <c r="D159" s="138">
        <v>0.12</v>
      </c>
      <c r="E159" s="139">
        <v>4.0200000000000005</v>
      </c>
      <c r="F159" s="136">
        <v>18</v>
      </c>
      <c r="G159" s="140"/>
    </row>
    <row r="160" spans="1:7" s="149" customFormat="1" ht="18.75" customHeight="1" x14ac:dyDescent="0.25">
      <c r="A160" s="59" t="s">
        <v>65</v>
      </c>
      <c r="B160" s="151">
        <v>25</v>
      </c>
      <c r="C160" s="138">
        <v>6</v>
      </c>
      <c r="D160" s="138">
        <v>8.25</v>
      </c>
      <c r="E160" s="139">
        <v>0.7</v>
      </c>
      <c r="F160" s="136">
        <v>100.75</v>
      </c>
      <c r="G160" s="140"/>
    </row>
    <row r="161" spans="1:7" s="149" customFormat="1" ht="19.5" customHeight="1" x14ac:dyDescent="0.25">
      <c r="A161" s="59" t="s">
        <v>574</v>
      </c>
      <c r="B161" s="151">
        <v>3</v>
      </c>
      <c r="C161" s="138">
        <v>5.4000000000000006E-2</v>
      </c>
      <c r="D161" s="138">
        <v>3.3000000000000002E-2</v>
      </c>
      <c r="E161" s="139">
        <v>8.1000000000000016E-2</v>
      </c>
      <c r="F161" s="136">
        <v>0.51</v>
      </c>
      <c r="G161" s="140"/>
    </row>
    <row r="162" spans="1:7" s="149" customFormat="1" ht="18" customHeight="1" x14ac:dyDescent="0.25">
      <c r="A162" s="59" t="s">
        <v>72</v>
      </c>
      <c r="B162" s="151">
        <v>5</v>
      </c>
      <c r="C162" s="138">
        <v>0.06</v>
      </c>
      <c r="D162" s="138">
        <v>6.9999999999999993E-2</v>
      </c>
      <c r="E162" s="139">
        <v>1.635</v>
      </c>
      <c r="F162" s="136">
        <v>7.4</v>
      </c>
      <c r="G162" s="140"/>
    </row>
    <row r="163" spans="1:7" s="149" customFormat="1" ht="19.5" customHeight="1" x14ac:dyDescent="0.25">
      <c r="A163" s="59" t="s">
        <v>98</v>
      </c>
      <c r="B163" s="151">
        <v>10</v>
      </c>
      <c r="C163" s="138">
        <v>0.27999999999999997</v>
      </c>
      <c r="D163" s="138">
        <v>6.7</v>
      </c>
      <c r="E163" s="139">
        <v>0.37000000000000005</v>
      </c>
      <c r="F163" s="136">
        <v>62.9</v>
      </c>
      <c r="G163" s="140"/>
    </row>
    <row r="164" spans="1:7" s="149" customFormat="1" ht="16.5" customHeight="1" x14ac:dyDescent="0.25">
      <c r="A164" s="59" t="s">
        <v>575</v>
      </c>
      <c r="B164" s="151">
        <v>7</v>
      </c>
      <c r="C164" s="138">
        <v>6.3E-2</v>
      </c>
      <c r="D164" s="138">
        <v>2.8000000000000001E-2</v>
      </c>
      <c r="E164" s="139">
        <v>0.25900000000000001</v>
      </c>
      <c r="F164" s="136">
        <v>2.0299999999999998</v>
      </c>
      <c r="G164" s="140"/>
    </row>
    <row r="165" spans="1:7" s="149" customFormat="1" ht="52.5" customHeight="1" x14ac:dyDescent="0.25">
      <c r="A165" s="70" t="s">
        <v>576</v>
      </c>
      <c r="B165" s="151"/>
      <c r="C165" s="138"/>
      <c r="D165" s="138"/>
      <c r="E165" s="139"/>
      <c r="F165" s="136"/>
      <c r="G165" s="140"/>
    </row>
    <row r="166" spans="1:7" ht="21" x14ac:dyDescent="0.25">
      <c r="A166" s="57" t="s">
        <v>107</v>
      </c>
      <c r="B166" s="9"/>
      <c r="C166" s="9"/>
      <c r="D166" s="9"/>
      <c r="E166" s="9"/>
      <c r="F166" s="9"/>
      <c r="G166" s="58"/>
    </row>
    <row r="167" spans="1:7" ht="15.75" x14ac:dyDescent="0.25">
      <c r="A167" s="14" t="s">
        <v>108</v>
      </c>
      <c r="B167" s="4">
        <v>250</v>
      </c>
      <c r="C167" s="5">
        <f>SUM(C168:C179)</f>
        <v>4.3744999999999994</v>
      </c>
      <c r="D167" s="5">
        <f>SUM(D168:D179)</f>
        <v>11.816500000000001</v>
      </c>
      <c r="E167" s="5">
        <f>SUM(E168:E179)</f>
        <v>47.244</v>
      </c>
      <c r="F167" s="5">
        <f>SUM(F168:F179)</f>
        <v>323.06049999999999</v>
      </c>
      <c r="G167" s="15">
        <f>F167/B167*100</f>
        <v>129.2242</v>
      </c>
    </row>
    <row r="168" spans="1:7" ht="15.75" x14ac:dyDescent="0.25">
      <c r="A168" s="59" t="s">
        <v>109</v>
      </c>
      <c r="B168" s="60">
        <v>80</v>
      </c>
      <c r="C168" s="17">
        <v>0.8</v>
      </c>
      <c r="D168" s="17">
        <v>0.16</v>
      </c>
      <c r="E168" s="17">
        <v>2.3199999999999998</v>
      </c>
      <c r="F168" s="17">
        <v>20</v>
      </c>
      <c r="G168" s="18"/>
    </row>
    <row r="169" spans="1:7" ht="15.75" x14ac:dyDescent="0.25">
      <c r="A169" s="59" t="s">
        <v>110</v>
      </c>
      <c r="B169" s="60">
        <v>7</v>
      </c>
      <c r="C169" s="10">
        <v>7.0000000000000001E-3</v>
      </c>
      <c r="D169" s="10">
        <v>1.4E-2</v>
      </c>
      <c r="E169" s="10">
        <v>2.8</v>
      </c>
      <c r="F169" s="10">
        <v>12.39</v>
      </c>
      <c r="G169" s="20"/>
    </row>
    <row r="170" spans="1:7" ht="15.75" x14ac:dyDescent="0.25">
      <c r="A170" s="59" t="s">
        <v>111</v>
      </c>
      <c r="B170" s="60">
        <v>15</v>
      </c>
      <c r="C170" s="10">
        <v>1.5449999999999999</v>
      </c>
      <c r="D170" s="10">
        <v>0.16500000000000001</v>
      </c>
      <c r="E170" s="10">
        <v>10.59</v>
      </c>
      <c r="F170" s="10">
        <v>50.1</v>
      </c>
      <c r="G170" s="20"/>
    </row>
    <row r="171" spans="1:7" ht="15.75" x14ac:dyDescent="0.25">
      <c r="A171" s="59" t="s">
        <v>112</v>
      </c>
      <c r="B171" s="60">
        <v>40</v>
      </c>
      <c r="C171" s="10">
        <v>0.71750000000000003</v>
      </c>
      <c r="D171" s="10">
        <v>6.6500000000000004E-2</v>
      </c>
      <c r="E171" s="10">
        <v>11.102</v>
      </c>
      <c r="F171" s="10">
        <v>48.450499999999998</v>
      </c>
      <c r="G171" s="20"/>
    </row>
    <row r="172" spans="1:7" ht="15.75" x14ac:dyDescent="0.25">
      <c r="A172" s="59" t="s">
        <v>23</v>
      </c>
      <c r="B172" s="60">
        <v>10</v>
      </c>
      <c r="C172" s="10">
        <v>0</v>
      </c>
      <c r="D172" s="10">
        <v>9.99</v>
      </c>
      <c r="E172" s="10">
        <v>0</v>
      </c>
      <c r="F172" s="10">
        <v>89.9</v>
      </c>
      <c r="G172" s="20"/>
    </row>
    <row r="173" spans="1:7" ht="15.75" x14ac:dyDescent="0.25">
      <c r="A173" s="59" t="s">
        <v>113</v>
      </c>
      <c r="B173" s="60">
        <v>100</v>
      </c>
      <c r="C173" s="10">
        <v>0.6</v>
      </c>
      <c r="D173" s="10">
        <v>0</v>
      </c>
      <c r="E173" s="10">
        <v>3.8</v>
      </c>
      <c r="F173" s="10">
        <v>14</v>
      </c>
      <c r="G173" s="20"/>
    </row>
    <row r="174" spans="1:7" ht="15.75" x14ac:dyDescent="0.25">
      <c r="A174" s="59" t="s">
        <v>114</v>
      </c>
      <c r="B174" s="60">
        <v>1</v>
      </c>
      <c r="C174" s="10">
        <v>1.4E-2</v>
      </c>
      <c r="D174" s="10">
        <v>2E-3</v>
      </c>
      <c r="E174" s="10">
        <v>8.2000000000000003E-2</v>
      </c>
      <c r="F174" s="10">
        <v>0.41</v>
      </c>
      <c r="G174" s="20"/>
    </row>
    <row r="175" spans="1:7" ht="15.75" x14ac:dyDescent="0.25">
      <c r="A175" s="59" t="s">
        <v>110</v>
      </c>
      <c r="B175" s="60">
        <v>40</v>
      </c>
      <c r="C175" s="12">
        <v>0.04</v>
      </c>
      <c r="D175" s="12">
        <v>0.08</v>
      </c>
      <c r="E175" s="12">
        <v>16</v>
      </c>
      <c r="F175" s="12">
        <v>70.8</v>
      </c>
      <c r="G175" s="22"/>
    </row>
    <row r="176" spans="1:7" ht="15.75" x14ac:dyDescent="0.25">
      <c r="A176" s="59" t="s">
        <v>115</v>
      </c>
      <c r="B176" s="60">
        <v>1</v>
      </c>
      <c r="C176" s="10">
        <v>3.3000000000000002E-2</v>
      </c>
      <c r="D176" s="10">
        <v>7.0000000000000001E-3</v>
      </c>
      <c r="E176" s="10">
        <v>1.9E-2</v>
      </c>
      <c r="F176" s="10">
        <v>0.3</v>
      </c>
      <c r="G176" s="22"/>
    </row>
    <row r="177" spans="1:7" ht="15.75" x14ac:dyDescent="0.25">
      <c r="A177" s="59" t="s">
        <v>116</v>
      </c>
      <c r="B177" s="60">
        <v>3</v>
      </c>
      <c r="C177" s="12">
        <v>0.61799999999999999</v>
      </c>
      <c r="D177" s="12">
        <v>1.3320000000000001</v>
      </c>
      <c r="E177" s="12">
        <v>0.53100000000000003</v>
      </c>
      <c r="F177" s="12">
        <v>16.71</v>
      </c>
      <c r="G177" s="22"/>
    </row>
    <row r="178" spans="1:7" ht="15.75" x14ac:dyDescent="0.25">
      <c r="A178" s="59" t="s">
        <v>17</v>
      </c>
      <c r="B178" s="60">
        <v>0.2</v>
      </c>
      <c r="C178" s="10">
        <v>0</v>
      </c>
      <c r="D178" s="10">
        <v>0</v>
      </c>
      <c r="E178" s="10">
        <v>0</v>
      </c>
      <c r="F178" s="10">
        <v>0</v>
      </c>
      <c r="G178" s="20"/>
    </row>
    <row r="179" spans="1:7" ht="15.75" x14ac:dyDescent="0.25">
      <c r="A179" s="59" t="s">
        <v>18</v>
      </c>
      <c r="B179" s="60">
        <v>3</v>
      </c>
      <c r="C179" s="10">
        <v>0</v>
      </c>
      <c r="D179" s="10">
        <v>0</v>
      </c>
      <c r="E179" s="10">
        <v>0</v>
      </c>
      <c r="F179" s="10">
        <v>0</v>
      </c>
      <c r="G179" s="20"/>
    </row>
    <row r="180" spans="1:7" ht="15.75" x14ac:dyDescent="0.25">
      <c r="A180" s="59" t="s">
        <v>117</v>
      </c>
      <c r="B180" s="61"/>
      <c r="C180" s="62"/>
      <c r="D180" s="62"/>
      <c r="E180" s="62"/>
      <c r="F180" s="62"/>
      <c r="G180" s="63"/>
    </row>
    <row r="181" spans="1:7" ht="31.5" x14ac:dyDescent="0.25">
      <c r="A181" s="67" t="s">
        <v>130</v>
      </c>
      <c r="B181" s="68">
        <v>365</v>
      </c>
      <c r="C181" s="69">
        <f>SUM(C182:C193)</f>
        <v>22.862500000000001</v>
      </c>
      <c r="D181" s="69">
        <f>SUM(D182:D193)</f>
        <v>12.571000000000002</v>
      </c>
      <c r="E181" s="69">
        <f>SUM(E182:E193)</f>
        <v>26.208000000000002</v>
      </c>
      <c r="F181" s="69">
        <f>SUM(F182:F193)</f>
        <v>329.3895</v>
      </c>
      <c r="G181" s="69">
        <f>F181/B181*100</f>
        <v>90.243698630136976</v>
      </c>
    </row>
    <row r="182" spans="1:7" ht="15.75" x14ac:dyDescent="0.25">
      <c r="A182" s="59" t="s">
        <v>120</v>
      </c>
      <c r="B182" s="60">
        <v>50</v>
      </c>
      <c r="C182" s="28">
        <v>0.35</v>
      </c>
      <c r="D182" s="28">
        <v>0.15</v>
      </c>
      <c r="E182" s="28">
        <v>3.85</v>
      </c>
      <c r="F182" s="28">
        <v>16.55</v>
      </c>
      <c r="G182" s="29"/>
    </row>
    <row r="183" spans="1:7" ht="15.75" x14ac:dyDescent="0.25">
      <c r="A183" s="59" t="s">
        <v>109</v>
      </c>
      <c r="B183" s="60">
        <v>50</v>
      </c>
      <c r="C183" s="31">
        <v>0.5</v>
      </c>
      <c r="D183" s="31">
        <v>0.1</v>
      </c>
      <c r="E183" s="31">
        <v>1.45</v>
      </c>
      <c r="F183" s="31">
        <v>12.5</v>
      </c>
      <c r="G183" s="32"/>
    </row>
    <row r="184" spans="1:7" ht="15.75" x14ac:dyDescent="0.25">
      <c r="A184" s="59" t="s">
        <v>131</v>
      </c>
      <c r="B184" s="60">
        <v>40</v>
      </c>
      <c r="C184" s="31">
        <v>0.52</v>
      </c>
      <c r="D184" s="31">
        <v>0.04</v>
      </c>
      <c r="E184" s="31">
        <v>2.12</v>
      </c>
      <c r="F184" s="31">
        <v>10.4</v>
      </c>
      <c r="G184" s="32"/>
    </row>
    <row r="185" spans="1:7" ht="15.75" x14ac:dyDescent="0.25">
      <c r="A185" s="59" t="s">
        <v>132</v>
      </c>
      <c r="B185" s="60">
        <v>50</v>
      </c>
      <c r="C185" s="31">
        <v>1.25</v>
      </c>
      <c r="D185" s="31">
        <v>0.05</v>
      </c>
      <c r="E185" s="31">
        <v>1.85</v>
      </c>
      <c r="F185" s="31">
        <v>11</v>
      </c>
      <c r="G185" s="32"/>
    </row>
    <row r="186" spans="1:7" ht="15.75" x14ac:dyDescent="0.25">
      <c r="A186" s="59" t="s">
        <v>133</v>
      </c>
      <c r="B186" s="60">
        <v>54</v>
      </c>
      <c r="C186" s="31">
        <v>10.368</v>
      </c>
      <c r="D186" s="31">
        <v>0.32400000000000001</v>
      </c>
      <c r="E186" s="31">
        <v>0</v>
      </c>
      <c r="F186" s="31">
        <v>48.06</v>
      </c>
      <c r="G186" s="32"/>
    </row>
    <row r="187" spans="1:7" ht="15.75" x14ac:dyDescent="0.25">
      <c r="A187" s="59" t="s">
        <v>134</v>
      </c>
      <c r="B187" s="60">
        <v>50</v>
      </c>
      <c r="C187" s="31">
        <v>7.8</v>
      </c>
      <c r="D187" s="31">
        <v>0.7</v>
      </c>
      <c r="E187" s="31">
        <v>1.55</v>
      </c>
      <c r="F187" s="31">
        <v>46</v>
      </c>
      <c r="G187" s="32"/>
    </row>
    <row r="188" spans="1:7" ht="15.75" x14ac:dyDescent="0.25">
      <c r="A188" s="59" t="s">
        <v>135</v>
      </c>
      <c r="B188" s="60">
        <v>35</v>
      </c>
      <c r="C188" s="31">
        <v>0.86099999999999999</v>
      </c>
      <c r="D188" s="31">
        <v>5.2850000000000001</v>
      </c>
      <c r="E188" s="31">
        <v>1.1094999999999999</v>
      </c>
      <c r="F188" s="31">
        <v>54.579000000000001</v>
      </c>
      <c r="G188" s="32"/>
    </row>
    <row r="189" spans="1:7" ht="15.75" x14ac:dyDescent="0.25">
      <c r="A189" s="59" t="s">
        <v>67</v>
      </c>
      <c r="B189" s="60">
        <v>35</v>
      </c>
      <c r="C189" s="31">
        <v>0.28000000000000003</v>
      </c>
      <c r="D189" s="31">
        <v>3.5000000000000003E-2</v>
      </c>
      <c r="E189" s="31">
        <v>0.98</v>
      </c>
      <c r="F189" s="31">
        <v>5.25</v>
      </c>
      <c r="G189" s="32"/>
    </row>
    <row r="190" spans="1:7" ht="15.75" x14ac:dyDescent="0.25">
      <c r="A190" s="59" t="s">
        <v>136</v>
      </c>
      <c r="B190" s="60">
        <v>4</v>
      </c>
      <c r="C190" s="31">
        <v>0.52</v>
      </c>
      <c r="D190" s="31">
        <v>0.124</v>
      </c>
      <c r="E190" s="31">
        <v>0.4</v>
      </c>
      <c r="F190" s="31">
        <v>3.6840000000000002</v>
      </c>
      <c r="G190" s="32"/>
    </row>
    <row r="191" spans="1:7" ht="15.75" x14ac:dyDescent="0.25">
      <c r="A191" s="59" t="s">
        <v>137</v>
      </c>
      <c r="B191" s="60">
        <v>10</v>
      </c>
      <c r="C191" s="31">
        <v>0.151</v>
      </c>
      <c r="D191" s="31">
        <v>5.742</v>
      </c>
      <c r="E191" s="31">
        <v>0.21099999999999999</v>
      </c>
      <c r="F191" s="31">
        <v>53.091999999999999</v>
      </c>
      <c r="G191" s="32"/>
    </row>
    <row r="192" spans="1:7" ht="15.75" x14ac:dyDescent="0.25">
      <c r="A192" s="59" t="s">
        <v>138</v>
      </c>
      <c r="B192" s="60">
        <v>35</v>
      </c>
      <c r="C192" s="12">
        <v>0.26250000000000001</v>
      </c>
      <c r="D192" s="12">
        <v>2.1000000000000001E-2</v>
      </c>
      <c r="E192" s="12">
        <v>12.6875</v>
      </c>
      <c r="F192" s="12">
        <v>68.274500000000003</v>
      </c>
      <c r="G192" s="35"/>
    </row>
    <row r="193" spans="1:7" ht="31.5" x14ac:dyDescent="0.25">
      <c r="A193" s="70" t="s">
        <v>139</v>
      </c>
      <c r="B193" s="30"/>
      <c r="C193" s="10"/>
      <c r="D193" s="10"/>
      <c r="E193" s="10"/>
      <c r="F193" s="10"/>
      <c r="G193" s="32"/>
    </row>
    <row r="194" spans="1:7" ht="15.75" x14ac:dyDescent="0.25">
      <c r="A194" s="36" t="s">
        <v>140</v>
      </c>
      <c r="B194" s="26">
        <v>260</v>
      </c>
      <c r="C194" s="15">
        <f>SUM(C196:C204)</f>
        <v>58.307000000000002</v>
      </c>
      <c r="D194" s="37">
        <f>SUM(D196:D200)</f>
        <v>46.921499999999995</v>
      </c>
      <c r="E194" s="37">
        <f>SUM(D194)</f>
        <v>46.921499999999995</v>
      </c>
      <c r="F194" s="15">
        <f>SUM(F195:F202)</f>
        <v>693.54950000000008</v>
      </c>
      <c r="G194" s="15">
        <f>F194/B194*100</f>
        <v>266.74980769230774</v>
      </c>
    </row>
    <row r="195" spans="1:7" ht="15.75" x14ac:dyDescent="0.25">
      <c r="A195" s="59" t="s">
        <v>141</v>
      </c>
      <c r="B195" s="60">
        <v>60</v>
      </c>
      <c r="C195" s="31">
        <v>1.56</v>
      </c>
      <c r="D195" s="31">
        <v>0.42</v>
      </c>
      <c r="E195" s="31">
        <v>1.26</v>
      </c>
      <c r="F195" s="31">
        <v>15</v>
      </c>
      <c r="G195" s="40"/>
    </row>
    <row r="196" spans="1:7" ht="15.75" x14ac:dyDescent="0.25">
      <c r="A196" s="59" t="s">
        <v>142</v>
      </c>
      <c r="B196" s="60">
        <v>55</v>
      </c>
      <c r="C196" s="31">
        <v>2.5299999999999998</v>
      </c>
      <c r="D196" s="31">
        <v>43.389499999999998</v>
      </c>
      <c r="E196" s="31">
        <v>0.70399999999999996</v>
      </c>
      <c r="F196" s="31">
        <v>402.56150000000002</v>
      </c>
      <c r="G196" s="39"/>
    </row>
    <row r="197" spans="1:7" ht="15.75" x14ac:dyDescent="0.25">
      <c r="A197" s="59" t="s">
        <v>44</v>
      </c>
      <c r="B197" s="60">
        <v>75</v>
      </c>
      <c r="C197" s="31">
        <v>16.32</v>
      </c>
      <c r="D197" s="31">
        <v>0.51</v>
      </c>
      <c r="E197" s="31">
        <v>0</v>
      </c>
      <c r="F197" s="31">
        <v>75.650000000000006</v>
      </c>
      <c r="G197" s="39"/>
    </row>
    <row r="198" spans="1:7" ht="15.75" x14ac:dyDescent="0.25">
      <c r="A198" s="59" t="s">
        <v>23</v>
      </c>
      <c r="B198" s="60">
        <v>3</v>
      </c>
      <c r="C198" s="31">
        <v>0</v>
      </c>
      <c r="D198" s="31">
        <v>2.9969999999999999</v>
      </c>
      <c r="E198" s="31">
        <v>0</v>
      </c>
      <c r="F198" s="31">
        <v>26.97</v>
      </c>
      <c r="G198" s="39"/>
    </row>
    <row r="199" spans="1:7" ht="15.75" x14ac:dyDescent="0.25">
      <c r="A199" s="59" t="s">
        <v>18</v>
      </c>
      <c r="B199" s="60">
        <v>2</v>
      </c>
      <c r="C199" s="31">
        <v>0</v>
      </c>
      <c r="D199" s="31">
        <v>0</v>
      </c>
      <c r="E199" s="31">
        <v>0</v>
      </c>
      <c r="F199" s="31">
        <v>0</v>
      </c>
      <c r="G199" s="39"/>
    </row>
    <row r="200" spans="1:7" ht="15.75" x14ac:dyDescent="0.25">
      <c r="A200" s="59" t="s">
        <v>67</v>
      </c>
      <c r="B200" s="60">
        <v>25</v>
      </c>
      <c r="C200" s="71">
        <v>0.2</v>
      </c>
      <c r="D200" s="71">
        <v>2.5000000000000001E-2</v>
      </c>
      <c r="E200" s="71">
        <v>0.7</v>
      </c>
      <c r="F200" s="71">
        <v>3.75</v>
      </c>
      <c r="G200" s="40"/>
    </row>
    <row r="201" spans="1:7" ht="15.75" x14ac:dyDescent="0.25">
      <c r="A201" s="59" t="s">
        <v>143</v>
      </c>
      <c r="B201" s="60">
        <v>20</v>
      </c>
      <c r="C201" s="31">
        <v>2.1320000000000001</v>
      </c>
      <c r="D201" s="31">
        <v>1.51</v>
      </c>
      <c r="E201" s="31">
        <v>14.548</v>
      </c>
      <c r="F201" s="31">
        <v>80.367999999999995</v>
      </c>
      <c r="G201" s="39"/>
    </row>
    <row r="202" spans="1:7" ht="15.75" x14ac:dyDescent="0.25">
      <c r="A202" s="59" t="s">
        <v>64</v>
      </c>
      <c r="B202" s="60">
        <v>25</v>
      </c>
      <c r="C202" s="31">
        <v>8.25</v>
      </c>
      <c r="D202" s="31">
        <v>6.25</v>
      </c>
      <c r="E202" s="31">
        <v>0</v>
      </c>
      <c r="F202" s="31">
        <v>89.25</v>
      </c>
      <c r="G202" s="40"/>
    </row>
    <row r="203" spans="1:7" ht="31.5" x14ac:dyDescent="0.25">
      <c r="A203" s="70" t="s">
        <v>708</v>
      </c>
      <c r="B203" s="191"/>
      <c r="C203" s="192"/>
      <c r="D203" s="192"/>
      <c r="E203" s="192"/>
      <c r="F203" s="192"/>
      <c r="G203" s="193"/>
    </row>
    <row r="204" spans="1:7" ht="15.75" x14ac:dyDescent="0.25">
      <c r="A204" s="44" t="s">
        <v>144</v>
      </c>
      <c r="B204" s="72">
        <v>230</v>
      </c>
      <c r="C204" s="73">
        <f>SUM(C205:C212)</f>
        <v>28.875000000000004</v>
      </c>
      <c r="D204" s="73">
        <f>SUM(D205:D212)</f>
        <v>56.947499999999998</v>
      </c>
      <c r="E204" s="73">
        <f>SUM(E205:E212)</f>
        <v>14.678999999999998</v>
      </c>
      <c r="F204" s="73">
        <f>SUM(F205:F212)</f>
        <v>679.24099999999987</v>
      </c>
      <c r="G204" s="69">
        <f>F204/B204*100</f>
        <v>295.32217391304346</v>
      </c>
    </row>
    <row r="205" spans="1:7" ht="15.75" x14ac:dyDescent="0.25">
      <c r="A205" s="59" t="s">
        <v>145</v>
      </c>
      <c r="B205" s="60">
        <v>60</v>
      </c>
      <c r="C205" s="31">
        <v>17.096</v>
      </c>
      <c r="D205" s="31">
        <v>7.6879999999999997</v>
      </c>
      <c r="E205" s="31">
        <v>0.80800000000000005</v>
      </c>
      <c r="F205" s="31">
        <v>140.68</v>
      </c>
      <c r="G205" s="39"/>
    </row>
    <row r="206" spans="1:7" ht="15.75" x14ac:dyDescent="0.25">
      <c r="A206" s="59" t="s">
        <v>23</v>
      </c>
      <c r="B206" s="60">
        <v>3</v>
      </c>
      <c r="C206" s="31">
        <v>0</v>
      </c>
      <c r="D206" s="31">
        <v>2.9969999999999999</v>
      </c>
      <c r="E206" s="31">
        <v>0</v>
      </c>
      <c r="F206" s="31">
        <v>26.97</v>
      </c>
      <c r="G206" s="40"/>
    </row>
    <row r="207" spans="1:7" ht="15.75" x14ac:dyDescent="0.25">
      <c r="A207" s="59" t="s">
        <v>141</v>
      </c>
      <c r="B207" s="60">
        <v>60</v>
      </c>
      <c r="C207" s="31">
        <v>1.08</v>
      </c>
      <c r="D207" s="31">
        <v>0.66</v>
      </c>
      <c r="E207" s="31">
        <v>1.62</v>
      </c>
      <c r="F207" s="31">
        <v>10.199999999999999</v>
      </c>
      <c r="G207" s="40"/>
    </row>
    <row r="208" spans="1:7" ht="15.75" x14ac:dyDescent="0.25">
      <c r="A208" s="59" t="s">
        <v>146</v>
      </c>
      <c r="B208" s="60">
        <v>50</v>
      </c>
      <c r="C208" s="31">
        <v>2.2999999999999998</v>
      </c>
      <c r="D208" s="31">
        <v>39.445</v>
      </c>
      <c r="E208" s="31">
        <v>0.64</v>
      </c>
      <c r="F208" s="31">
        <v>365.96499999999997</v>
      </c>
      <c r="G208" s="40"/>
    </row>
    <row r="209" spans="1:7" ht="15.75" x14ac:dyDescent="0.25">
      <c r="A209" s="59" t="s">
        <v>67</v>
      </c>
      <c r="B209" s="60">
        <v>25</v>
      </c>
      <c r="C209" s="31">
        <v>0.2</v>
      </c>
      <c r="D209" s="31">
        <v>2.5000000000000001E-2</v>
      </c>
      <c r="E209" s="31">
        <v>0.7</v>
      </c>
      <c r="F209" s="31">
        <v>3.75</v>
      </c>
      <c r="G209" s="40"/>
    </row>
    <row r="210" spans="1:7" ht="15.75" x14ac:dyDescent="0.25">
      <c r="A210" s="59" t="s">
        <v>147</v>
      </c>
      <c r="B210" s="60">
        <v>20</v>
      </c>
      <c r="C210" s="31">
        <v>6.6</v>
      </c>
      <c r="D210" s="31">
        <v>5</v>
      </c>
      <c r="E210" s="31">
        <v>0</v>
      </c>
      <c r="F210" s="31">
        <v>71.400000000000006</v>
      </c>
      <c r="G210" s="40"/>
    </row>
    <row r="211" spans="1:7" ht="15.75" x14ac:dyDescent="0.25">
      <c r="A211" s="59" t="s">
        <v>148</v>
      </c>
      <c r="B211" s="60">
        <v>15</v>
      </c>
      <c r="C211" s="31">
        <v>1.599</v>
      </c>
      <c r="D211" s="31">
        <v>1.1325000000000001</v>
      </c>
      <c r="E211" s="31">
        <v>10.911</v>
      </c>
      <c r="F211" s="31">
        <v>60.276000000000003</v>
      </c>
      <c r="G211" s="40"/>
    </row>
    <row r="212" spans="1:7" ht="31.5" x14ac:dyDescent="0.25">
      <c r="A212" s="70" t="s">
        <v>708</v>
      </c>
      <c r="B212" s="179"/>
      <c r="C212" s="180"/>
      <c r="D212" s="180"/>
      <c r="E212" s="180"/>
      <c r="F212" s="180"/>
      <c r="G212" s="181"/>
    </row>
    <row r="213" spans="1:7" ht="15.75" x14ac:dyDescent="0.25">
      <c r="A213" s="44" t="s">
        <v>149</v>
      </c>
      <c r="B213" s="45">
        <v>222</v>
      </c>
      <c r="C213" s="46">
        <f>SUM(C214:C224)</f>
        <v>17</v>
      </c>
      <c r="D213" s="46">
        <f>SUM(D214:D224)</f>
        <v>31.240000000000002</v>
      </c>
      <c r="E213" s="46">
        <f>SUM(E214:E224)</f>
        <v>11.030000000000001</v>
      </c>
      <c r="F213" s="46">
        <f>SUM(F214:F224)</f>
        <v>400.54500000000002</v>
      </c>
      <c r="G213" s="15">
        <f>F213/B213*100</f>
        <v>180.42567567567568</v>
      </c>
    </row>
    <row r="214" spans="1:7" ht="15.75" x14ac:dyDescent="0.25">
      <c r="A214" s="59" t="s">
        <v>150</v>
      </c>
      <c r="B214" s="60">
        <v>35</v>
      </c>
      <c r="C214" s="31">
        <v>10.15</v>
      </c>
      <c r="D214" s="31">
        <v>0.63</v>
      </c>
      <c r="E214" s="31">
        <v>0.17499999999999999</v>
      </c>
      <c r="F214" s="31">
        <v>47.95</v>
      </c>
      <c r="G214" s="47"/>
    </row>
    <row r="215" spans="1:7" ht="15.75" x14ac:dyDescent="0.25">
      <c r="A215" s="59" t="s">
        <v>151</v>
      </c>
      <c r="B215" s="60">
        <v>35</v>
      </c>
      <c r="C215" s="31">
        <v>0.77</v>
      </c>
      <c r="D215" s="31">
        <v>0.21</v>
      </c>
      <c r="E215" s="31">
        <v>5.7750000000000004</v>
      </c>
      <c r="F215" s="31">
        <v>29.295000000000002</v>
      </c>
      <c r="G215" s="39"/>
    </row>
    <row r="216" spans="1:7" ht="15.75" x14ac:dyDescent="0.25">
      <c r="A216" s="59" t="s">
        <v>152</v>
      </c>
      <c r="B216" s="60">
        <v>20</v>
      </c>
      <c r="C216" s="31">
        <v>0.16</v>
      </c>
      <c r="D216" s="31">
        <v>0.04</v>
      </c>
      <c r="E216" s="31">
        <v>1.04</v>
      </c>
      <c r="F216" s="31">
        <v>7</v>
      </c>
      <c r="G216" s="39"/>
    </row>
    <row r="217" spans="1:7" ht="15.75" x14ac:dyDescent="0.25">
      <c r="A217" s="59" t="s">
        <v>89</v>
      </c>
      <c r="B217" s="60">
        <v>20</v>
      </c>
      <c r="C217" s="31">
        <v>0.16</v>
      </c>
      <c r="D217" s="31">
        <v>0.02</v>
      </c>
      <c r="E217" s="31">
        <v>0.34</v>
      </c>
      <c r="F217" s="31">
        <v>2.6</v>
      </c>
      <c r="G217" s="39"/>
    </row>
    <row r="218" spans="1:7" ht="15.75" x14ac:dyDescent="0.25">
      <c r="A218" s="59" t="s">
        <v>153</v>
      </c>
      <c r="B218" s="60">
        <v>20</v>
      </c>
      <c r="C218" s="31">
        <v>0.16</v>
      </c>
      <c r="D218" s="31">
        <v>0.02</v>
      </c>
      <c r="E218" s="31">
        <v>0.56000000000000005</v>
      </c>
      <c r="F218" s="31">
        <v>3</v>
      </c>
      <c r="G218" s="39"/>
    </row>
    <row r="219" spans="1:7" ht="15.75" x14ac:dyDescent="0.25">
      <c r="A219" s="59" t="s">
        <v>154</v>
      </c>
      <c r="B219" s="60">
        <v>20</v>
      </c>
      <c r="C219" s="31">
        <v>0.6</v>
      </c>
      <c r="D219" s="31">
        <v>0.1</v>
      </c>
      <c r="E219" s="31">
        <v>1.46</v>
      </c>
      <c r="F219" s="31">
        <v>11.6</v>
      </c>
      <c r="G219" s="39"/>
    </row>
    <row r="220" spans="1:7" ht="15.75" x14ac:dyDescent="0.25">
      <c r="A220" s="59" t="s">
        <v>22</v>
      </c>
      <c r="B220" s="60">
        <v>20</v>
      </c>
      <c r="C220" s="31">
        <v>2.54</v>
      </c>
      <c r="D220" s="31">
        <v>2.2999999999999998</v>
      </c>
      <c r="E220" s="31">
        <v>0.14000000000000001</v>
      </c>
      <c r="F220" s="31">
        <v>31.4</v>
      </c>
      <c r="G220" s="39"/>
    </row>
    <row r="221" spans="1:7" ht="15.75" x14ac:dyDescent="0.25">
      <c r="A221" s="59" t="s">
        <v>98</v>
      </c>
      <c r="B221" s="60">
        <v>40</v>
      </c>
      <c r="C221" s="71">
        <v>1.1200000000000001</v>
      </c>
      <c r="D221" s="71">
        <v>26.8</v>
      </c>
      <c r="E221" s="71">
        <v>1.48</v>
      </c>
      <c r="F221" s="71">
        <v>251.6</v>
      </c>
      <c r="G221" s="39"/>
    </row>
    <row r="222" spans="1:7" ht="15.75" x14ac:dyDescent="0.25">
      <c r="A222" s="59" t="s">
        <v>155</v>
      </c>
      <c r="B222" s="60">
        <v>10</v>
      </c>
      <c r="C222" s="31">
        <v>1.31</v>
      </c>
      <c r="D222" s="31">
        <v>1.1100000000000001</v>
      </c>
      <c r="E222" s="31">
        <v>0.04</v>
      </c>
      <c r="F222" s="31">
        <v>15.8</v>
      </c>
      <c r="G222" s="40"/>
    </row>
    <row r="223" spans="1:7" ht="15.75" x14ac:dyDescent="0.25">
      <c r="A223" s="59" t="s">
        <v>115</v>
      </c>
      <c r="B223" s="60">
        <v>1</v>
      </c>
      <c r="C223" s="74">
        <v>0.03</v>
      </c>
      <c r="D223" s="74">
        <v>0.01</v>
      </c>
      <c r="E223" s="74">
        <v>0.02</v>
      </c>
      <c r="F223" s="74">
        <v>0.3</v>
      </c>
      <c r="G223" s="75"/>
    </row>
    <row r="224" spans="1:7" ht="15.75" x14ac:dyDescent="0.25">
      <c r="A224" s="59" t="s">
        <v>156</v>
      </c>
      <c r="B224" s="60">
        <v>0.2</v>
      </c>
      <c r="C224" s="31">
        <v>0</v>
      </c>
      <c r="D224" s="31">
        <v>0</v>
      </c>
      <c r="E224" s="31">
        <v>0</v>
      </c>
      <c r="F224" s="31">
        <v>0</v>
      </c>
      <c r="G224" s="48"/>
    </row>
    <row r="225" spans="1:7" ht="15.75" x14ac:dyDescent="0.25">
      <c r="A225" s="44" t="s">
        <v>157</v>
      </c>
      <c r="B225" s="45">
        <v>237</v>
      </c>
      <c r="C225" s="46">
        <f>SUM(C226:C236)</f>
        <v>16.587999999999997</v>
      </c>
      <c r="D225" s="46">
        <f>SUM(D226:D236)</f>
        <v>36.442</v>
      </c>
      <c r="E225" s="46">
        <f>SUM(E226:E236)</f>
        <v>11.999000000000001</v>
      </c>
      <c r="F225" s="46">
        <f>SUM(F226:F236)</f>
        <v>443.46000000000004</v>
      </c>
      <c r="G225" s="15">
        <f>F225/B225*100</f>
        <v>187.11392405063293</v>
      </c>
    </row>
    <row r="226" spans="1:7" ht="15.75" x14ac:dyDescent="0.25">
      <c r="A226" s="59" t="s">
        <v>158</v>
      </c>
      <c r="B226" s="60">
        <v>50</v>
      </c>
      <c r="C226" s="31">
        <v>9.7349999999999994</v>
      </c>
      <c r="D226" s="31">
        <v>5.835</v>
      </c>
      <c r="E226" s="31">
        <v>1.145</v>
      </c>
      <c r="F226" s="31">
        <v>90.864999999999995</v>
      </c>
      <c r="G226" s="47"/>
    </row>
    <row r="227" spans="1:7" ht="15.75" x14ac:dyDescent="0.25">
      <c r="A227" s="59" t="s">
        <v>151</v>
      </c>
      <c r="B227" s="60">
        <v>35</v>
      </c>
      <c r="C227" s="31">
        <v>0.77</v>
      </c>
      <c r="D227" s="31">
        <v>0.21</v>
      </c>
      <c r="E227" s="31">
        <v>5.7750000000000004</v>
      </c>
      <c r="F227" s="31">
        <v>29.295000000000002</v>
      </c>
      <c r="G227" s="39"/>
    </row>
    <row r="228" spans="1:7" ht="15.75" x14ac:dyDescent="0.25">
      <c r="A228" s="59" t="s">
        <v>159</v>
      </c>
      <c r="B228" s="60">
        <v>20</v>
      </c>
      <c r="C228" s="31">
        <v>0.16</v>
      </c>
      <c r="D228" s="31">
        <v>0.04</v>
      </c>
      <c r="E228" s="31">
        <v>1.04</v>
      </c>
      <c r="F228" s="31">
        <v>7</v>
      </c>
      <c r="G228" s="39"/>
    </row>
    <row r="229" spans="1:7" ht="15.75" x14ac:dyDescent="0.25">
      <c r="A229" s="59" t="s">
        <v>154</v>
      </c>
      <c r="B229" s="60">
        <v>20</v>
      </c>
      <c r="C229" s="31">
        <v>0.16</v>
      </c>
      <c r="D229" s="31">
        <v>0.02</v>
      </c>
      <c r="E229" s="31">
        <v>0.34</v>
      </c>
      <c r="F229" s="31">
        <v>2.6</v>
      </c>
      <c r="G229" s="39"/>
    </row>
    <row r="230" spans="1:7" ht="15.75" x14ac:dyDescent="0.25">
      <c r="A230" s="59" t="s">
        <v>89</v>
      </c>
      <c r="B230" s="60">
        <v>20</v>
      </c>
      <c r="C230" s="31">
        <v>0.16</v>
      </c>
      <c r="D230" s="31">
        <v>0.02</v>
      </c>
      <c r="E230" s="31">
        <v>0.56000000000000005</v>
      </c>
      <c r="F230" s="31">
        <v>3</v>
      </c>
      <c r="G230" s="39"/>
    </row>
    <row r="231" spans="1:7" ht="15.75" x14ac:dyDescent="0.25">
      <c r="A231" s="59" t="s">
        <v>153</v>
      </c>
      <c r="B231" s="60">
        <v>20</v>
      </c>
      <c r="C231" s="31">
        <v>0.6</v>
      </c>
      <c r="D231" s="31">
        <v>0.1</v>
      </c>
      <c r="E231" s="31">
        <v>1.46</v>
      </c>
      <c r="F231" s="31">
        <v>11.6</v>
      </c>
      <c r="G231" s="39"/>
    </row>
    <row r="232" spans="1:7" ht="15.75" x14ac:dyDescent="0.25">
      <c r="A232" s="59" t="s">
        <v>115</v>
      </c>
      <c r="B232" s="60">
        <v>1</v>
      </c>
      <c r="C232" s="31">
        <v>3.3000000000000002E-2</v>
      </c>
      <c r="D232" s="31">
        <v>7.0000000000000001E-3</v>
      </c>
      <c r="E232" s="31">
        <v>1.9E-2</v>
      </c>
      <c r="F232" s="31">
        <v>0.3</v>
      </c>
      <c r="G232" s="39"/>
    </row>
    <row r="233" spans="1:7" ht="15.75" x14ac:dyDescent="0.25">
      <c r="A233" s="59" t="s">
        <v>160</v>
      </c>
      <c r="B233" s="60">
        <v>0.2</v>
      </c>
      <c r="C233" s="31">
        <v>0</v>
      </c>
      <c r="D233" s="31">
        <v>0</v>
      </c>
      <c r="E233" s="31">
        <v>0</v>
      </c>
      <c r="F233" s="31">
        <v>0</v>
      </c>
      <c r="G233" s="39"/>
    </row>
    <row r="234" spans="1:7" ht="15.75" x14ac:dyDescent="0.25">
      <c r="A234" s="59" t="s">
        <v>22</v>
      </c>
      <c r="B234" s="60">
        <v>20</v>
      </c>
      <c r="C234" s="31">
        <v>2.54</v>
      </c>
      <c r="D234" s="31">
        <v>2.2999999999999998</v>
      </c>
      <c r="E234" s="31">
        <v>0.14000000000000001</v>
      </c>
      <c r="F234" s="31">
        <v>31.4</v>
      </c>
      <c r="G234" s="39"/>
    </row>
    <row r="235" spans="1:7" ht="15.75" x14ac:dyDescent="0.25">
      <c r="A235" s="59" t="s">
        <v>155</v>
      </c>
      <c r="B235" s="60">
        <v>10</v>
      </c>
      <c r="C235" s="31">
        <v>1.31</v>
      </c>
      <c r="D235" s="31">
        <v>1.1100000000000001</v>
      </c>
      <c r="E235" s="31">
        <v>0.04</v>
      </c>
      <c r="F235" s="31">
        <v>15.8</v>
      </c>
      <c r="G235" s="39"/>
    </row>
    <row r="236" spans="1:7" ht="15.75" x14ac:dyDescent="0.25">
      <c r="A236" s="59" t="s">
        <v>98</v>
      </c>
      <c r="B236" s="60">
        <v>40</v>
      </c>
      <c r="C236" s="31">
        <v>1.1200000000000001</v>
      </c>
      <c r="D236" s="31">
        <v>26.8</v>
      </c>
      <c r="E236" s="31">
        <v>1.48</v>
      </c>
      <c r="F236" s="31">
        <v>251.6</v>
      </c>
      <c r="G236" s="39"/>
    </row>
    <row r="237" spans="1:7" ht="15.75" x14ac:dyDescent="0.25">
      <c r="A237" s="44" t="s">
        <v>161</v>
      </c>
      <c r="B237" s="45">
        <v>264</v>
      </c>
      <c r="C237" s="46">
        <f>SUM(C238:C248)</f>
        <v>21.542000000000002</v>
      </c>
      <c r="D237" s="46">
        <f>SUM(D238:D248)</f>
        <v>25.020199999999999</v>
      </c>
      <c r="E237" s="46">
        <f>SUM(E238:E248)</f>
        <v>21.244400000000002</v>
      </c>
      <c r="F237" s="46">
        <f>SUM(F238:F248)</f>
        <v>399.79019999999997</v>
      </c>
      <c r="G237" s="15">
        <f>F237/B237*100</f>
        <v>151.43568181818182</v>
      </c>
    </row>
    <row r="238" spans="1:7" ht="15.75" x14ac:dyDescent="0.25">
      <c r="A238" s="70" t="s">
        <v>119</v>
      </c>
      <c r="B238" s="60">
        <v>35</v>
      </c>
      <c r="C238" s="31">
        <v>0.7</v>
      </c>
      <c r="D238" s="31">
        <v>5.25</v>
      </c>
      <c r="E238" s="31">
        <v>2.8</v>
      </c>
      <c r="F238" s="31">
        <v>56</v>
      </c>
      <c r="G238" s="47"/>
    </row>
    <row r="239" spans="1:7" ht="15.75" x14ac:dyDescent="0.25">
      <c r="A239" s="70" t="s">
        <v>44</v>
      </c>
      <c r="B239" s="60">
        <v>60</v>
      </c>
      <c r="C239" s="31">
        <v>14.4</v>
      </c>
      <c r="D239" s="31">
        <v>0.45</v>
      </c>
      <c r="E239" s="31">
        <v>0</v>
      </c>
      <c r="F239" s="31">
        <v>66.75</v>
      </c>
      <c r="G239" s="39"/>
    </row>
    <row r="240" spans="1:7" ht="15.75" x14ac:dyDescent="0.25">
      <c r="A240" s="70" t="s">
        <v>67</v>
      </c>
      <c r="B240" s="60">
        <v>30</v>
      </c>
      <c r="C240" s="31">
        <v>0.24</v>
      </c>
      <c r="D240" s="31">
        <v>0.03</v>
      </c>
      <c r="E240" s="31">
        <v>0.84</v>
      </c>
      <c r="F240" s="31">
        <v>4.5</v>
      </c>
      <c r="G240" s="39"/>
    </row>
    <row r="241" spans="1:7" ht="15.75" x14ac:dyDescent="0.25">
      <c r="A241" s="70" t="s">
        <v>162</v>
      </c>
      <c r="B241" s="60">
        <v>30</v>
      </c>
      <c r="C241" s="31">
        <v>0.78</v>
      </c>
      <c r="D241" s="31">
        <v>0.21</v>
      </c>
      <c r="E241" s="31">
        <v>0.63</v>
      </c>
      <c r="F241" s="31">
        <v>7.5</v>
      </c>
      <c r="G241" s="39"/>
    </row>
    <row r="242" spans="1:7" ht="15.75" x14ac:dyDescent="0.25">
      <c r="A242" s="70" t="s">
        <v>163</v>
      </c>
      <c r="B242" s="60">
        <v>50</v>
      </c>
      <c r="C242" s="31">
        <v>0.4</v>
      </c>
      <c r="D242" s="31">
        <v>0.2</v>
      </c>
      <c r="E242" s="31">
        <v>3.75</v>
      </c>
      <c r="F242" s="31">
        <v>20.5</v>
      </c>
      <c r="G242" s="39"/>
    </row>
    <row r="243" spans="1:7" ht="15.75" x14ac:dyDescent="0.25">
      <c r="A243" s="70" t="s">
        <v>64</v>
      </c>
      <c r="B243" s="60">
        <v>15</v>
      </c>
      <c r="C243" s="31">
        <v>4.95</v>
      </c>
      <c r="D243" s="31">
        <v>3.84</v>
      </c>
      <c r="E243" s="31">
        <v>0.48</v>
      </c>
      <c r="F243" s="31">
        <v>54.3</v>
      </c>
      <c r="G243" s="39"/>
    </row>
    <row r="244" spans="1:7" ht="15.75" x14ac:dyDescent="0.25">
      <c r="A244" s="70" t="s">
        <v>164</v>
      </c>
      <c r="B244" s="60">
        <v>18</v>
      </c>
      <c r="C244" s="31">
        <v>2.52E-2</v>
      </c>
      <c r="D244" s="31">
        <v>12.0366</v>
      </c>
      <c r="E244" s="31">
        <v>3.177</v>
      </c>
      <c r="F244" s="31">
        <v>121.9482</v>
      </c>
      <c r="G244" s="39"/>
    </row>
    <row r="245" spans="1:7" ht="15.75" x14ac:dyDescent="0.25">
      <c r="A245" s="70" t="s">
        <v>165</v>
      </c>
      <c r="B245" s="60">
        <v>26</v>
      </c>
      <c r="C245" s="31">
        <v>2.5999999999999999E-2</v>
      </c>
      <c r="D245" s="31">
        <v>0</v>
      </c>
      <c r="E245" s="31">
        <v>9.49</v>
      </c>
      <c r="F245" s="31">
        <v>40.82</v>
      </c>
      <c r="G245" s="39"/>
    </row>
    <row r="246" spans="1:7" ht="15.75" x14ac:dyDescent="0.25">
      <c r="A246" s="70" t="s">
        <v>23</v>
      </c>
      <c r="B246" s="60">
        <v>3</v>
      </c>
      <c r="C246" s="31">
        <v>0</v>
      </c>
      <c r="D246" s="31">
        <v>2.9969999999999999</v>
      </c>
      <c r="E246" s="31">
        <v>0</v>
      </c>
      <c r="F246" s="31">
        <v>26.97</v>
      </c>
      <c r="G246" s="39"/>
    </row>
    <row r="247" spans="1:7" ht="15.75" x14ac:dyDescent="0.25">
      <c r="A247" s="70" t="s">
        <v>17</v>
      </c>
      <c r="B247" s="60">
        <v>0.2</v>
      </c>
      <c r="C247" s="31">
        <v>2.0799999999999999E-2</v>
      </c>
      <c r="D247" s="31">
        <v>6.6E-3</v>
      </c>
      <c r="E247" s="31">
        <v>7.7399999999999997E-2</v>
      </c>
      <c r="F247" s="31">
        <v>0.502</v>
      </c>
      <c r="G247" s="40"/>
    </row>
    <row r="248" spans="1:7" ht="15.75" x14ac:dyDescent="0.25">
      <c r="A248" s="70" t="s">
        <v>18</v>
      </c>
      <c r="B248" s="60">
        <v>2</v>
      </c>
      <c r="C248" s="31">
        <v>0</v>
      </c>
      <c r="D248" s="31">
        <v>0</v>
      </c>
      <c r="E248" s="31">
        <v>0</v>
      </c>
      <c r="F248" s="31">
        <v>0</v>
      </c>
      <c r="G248" s="39"/>
    </row>
    <row r="249" spans="1:7" ht="15.75" x14ac:dyDescent="0.25">
      <c r="A249" s="70" t="s">
        <v>166</v>
      </c>
      <c r="B249" s="194"/>
      <c r="C249" s="195"/>
      <c r="D249" s="195"/>
      <c r="E249" s="195"/>
      <c r="F249" s="195"/>
      <c r="G249" s="196"/>
    </row>
    <row r="250" spans="1:7" ht="15.75" x14ac:dyDescent="0.25">
      <c r="A250" s="44" t="s">
        <v>167</v>
      </c>
      <c r="B250" s="45">
        <v>300</v>
      </c>
      <c r="C250" s="46">
        <f>SUM(C251:C263)</f>
        <v>13.219999999999999</v>
      </c>
      <c r="D250" s="46">
        <f>SUM(D251:D263)</f>
        <v>27.06</v>
      </c>
      <c r="E250" s="46">
        <f>SUM(E251:E263)</f>
        <v>11.83</v>
      </c>
      <c r="F250" s="46">
        <f>SUM(F251:F263)</f>
        <v>354.39</v>
      </c>
      <c r="G250" s="15">
        <f>F250/B250*100</f>
        <v>118.13</v>
      </c>
    </row>
    <row r="251" spans="1:7" s="152" customFormat="1" ht="15.75" x14ac:dyDescent="0.25">
      <c r="A251" s="70" t="s">
        <v>113</v>
      </c>
      <c r="B251" s="150">
        <v>80</v>
      </c>
      <c r="C251" s="31">
        <v>0.48</v>
      </c>
      <c r="D251" s="31">
        <v>0</v>
      </c>
      <c r="E251" s="31">
        <v>3.04</v>
      </c>
      <c r="F251" s="31">
        <v>11.2</v>
      </c>
      <c r="G251" s="47"/>
    </row>
    <row r="252" spans="1:7" s="152" customFormat="1" ht="15.75" x14ac:dyDescent="0.25">
      <c r="A252" s="70" t="s">
        <v>168</v>
      </c>
      <c r="B252" s="150">
        <v>50</v>
      </c>
      <c r="C252" s="31">
        <v>0.4</v>
      </c>
      <c r="D252" s="31">
        <v>0.05</v>
      </c>
      <c r="E252" s="31">
        <v>1.4</v>
      </c>
      <c r="F252" s="31">
        <v>7.5</v>
      </c>
      <c r="G252" s="39"/>
    </row>
    <row r="253" spans="1:7" s="152" customFormat="1" ht="15.75" x14ac:dyDescent="0.25">
      <c r="A253" s="70" t="s">
        <v>559</v>
      </c>
      <c r="B253" s="150">
        <v>45</v>
      </c>
      <c r="C253" s="31">
        <v>0.59</v>
      </c>
      <c r="D253" s="31">
        <v>0.05</v>
      </c>
      <c r="E253" s="31">
        <v>2.39</v>
      </c>
      <c r="F253" s="31">
        <v>11.7</v>
      </c>
      <c r="G253" s="39"/>
    </row>
    <row r="254" spans="1:7" s="152" customFormat="1" ht="15.75" x14ac:dyDescent="0.25">
      <c r="A254" s="70" t="s">
        <v>53</v>
      </c>
      <c r="B254" s="150">
        <v>7</v>
      </c>
      <c r="C254" s="31">
        <v>0.16</v>
      </c>
      <c r="D254" s="31">
        <v>0.02</v>
      </c>
      <c r="E254" s="31">
        <v>1.05</v>
      </c>
      <c r="F254" s="31">
        <v>7.7</v>
      </c>
      <c r="G254" s="39"/>
    </row>
    <row r="255" spans="1:7" s="152" customFormat="1" ht="15.75" x14ac:dyDescent="0.25">
      <c r="A255" s="70" t="s">
        <v>604</v>
      </c>
      <c r="B255" s="150">
        <v>30</v>
      </c>
      <c r="C255" s="31">
        <v>2.4</v>
      </c>
      <c r="D255" s="31">
        <v>6.55</v>
      </c>
      <c r="E255" s="31">
        <v>0.28999999999999998</v>
      </c>
      <c r="F255" s="31">
        <v>50.9</v>
      </c>
      <c r="G255" s="39"/>
    </row>
    <row r="256" spans="1:7" s="152" customFormat="1" ht="15.75" x14ac:dyDescent="0.25">
      <c r="A256" s="70" t="s">
        <v>171</v>
      </c>
      <c r="B256" s="150">
        <v>48</v>
      </c>
      <c r="C256" s="31">
        <v>8.59</v>
      </c>
      <c r="D256" s="31">
        <v>9.65</v>
      </c>
      <c r="E256" s="31">
        <v>0</v>
      </c>
      <c r="F256" s="31">
        <v>124.8</v>
      </c>
      <c r="G256" s="39"/>
    </row>
    <row r="257" spans="1:7" s="152" customFormat="1" ht="15.75" x14ac:dyDescent="0.25">
      <c r="A257" s="70" t="s">
        <v>172</v>
      </c>
      <c r="B257" s="150">
        <v>5</v>
      </c>
      <c r="C257" s="31">
        <v>0.1</v>
      </c>
      <c r="D257" s="31">
        <v>1.4</v>
      </c>
      <c r="E257" s="31">
        <v>0.1</v>
      </c>
      <c r="F257" s="31">
        <v>13.5</v>
      </c>
      <c r="G257" s="39"/>
    </row>
    <row r="258" spans="1:7" s="152" customFormat="1" ht="15.75" x14ac:dyDescent="0.25">
      <c r="A258" s="70" t="s">
        <v>605</v>
      </c>
      <c r="B258" s="150">
        <v>5</v>
      </c>
      <c r="C258" s="31">
        <v>0.16</v>
      </c>
      <c r="D258" s="31">
        <v>0.03</v>
      </c>
      <c r="E258" s="31">
        <v>0.06</v>
      </c>
      <c r="F258" s="31">
        <v>1.1499999999999999</v>
      </c>
      <c r="G258" s="39"/>
    </row>
    <row r="259" spans="1:7" s="152" customFormat="1" ht="15.75" x14ac:dyDescent="0.25">
      <c r="A259" s="70" t="s">
        <v>606</v>
      </c>
      <c r="B259" s="150">
        <v>28</v>
      </c>
      <c r="C259" s="31">
        <v>0.25</v>
      </c>
      <c r="D259" s="31">
        <v>7.3</v>
      </c>
      <c r="E259" s="31">
        <v>3.44</v>
      </c>
      <c r="F259" s="31">
        <v>80.22</v>
      </c>
      <c r="G259" s="39"/>
    </row>
    <row r="260" spans="1:7" s="152" customFormat="1" ht="15.75" x14ac:dyDescent="0.25">
      <c r="A260" s="70" t="s">
        <v>173</v>
      </c>
      <c r="B260" s="150">
        <v>5</v>
      </c>
      <c r="C260" s="31">
        <v>0</v>
      </c>
      <c r="D260" s="31">
        <v>1.99</v>
      </c>
      <c r="E260" s="31">
        <v>0</v>
      </c>
      <c r="F260" s="31">
        <v>44.9</v>
      </c>
      <c r="G260" s="39"/>
    </row>
    <row r="261" spans="1:7" s="152" customFormat="1" ht="15.75" x14ac:dyDescent="0.25">
      <c r="A261" s="70" t="s">
        <v>17</v>
      </c>
      <c r="B261" s="150">
        <v>0.2</v>
      </c>
      <c r="C261" s="31">
        <v>0</v>
      </c>
      <c r="D261" s="31">
        <v>0</v>
      </c>
      <c r="E261" s="31">
        <v>0</v>
      </c>
      <c r="F261" s="31">
        <v>0</v>
      </c>
      <c r="G261" s="40"/>
    </row>
    <row r="262" spans="1:7" s="152" customFormat="1" ht="15.75" x14ac:dyDescent="0.25">
      <c r="A262" s="70" t="s">
        <v>18</v>
      </c>
      <c r="B262" s="150">
        <v>2</v>
      </c>
      <c r="C262" s="31">
        <v>0</v>
      </c>
      <c r="D262" s="31">
        <v>0</v>
      </c>
      <c r="E262" s="31">
        <v>0</v>
      </c>
      <c r="F262" s="76">
        <v>0</v>
      </c>
      <c r="G262" s="39"/>
    </row>
    <row r="263" spans="1:7" s="152" customFormat="1" ht="15.75" x14ac:dyDescent="0.25">
      <c r="A263" s="70" t="s">
        <v>174</v>
      </c>
      <c r="B263" s="150">
        <v>7</v>
      </c>
      <c r="C263" s="31">
        <v>0.09</v>
      </c>
      <c r="D263" s="31">
        <v>0.02</v>
      </c>
      <c r="E263" s="31">
        <v>0.06</v>
      </c>
      <c r="F263" s="76">
        <v>0.82</v>
      </c>
      <c r="G263" s="39"/>
    </row>
    <row r="264" spans="1:7" ht="15.75" x14ac:dyDescent="0.25">
      <c r="A264" s="44" t="s">
        <v>175</v>
      </c>
      <c r="B264" s="45">
        <v>262</v>
      </c>
      <c r="C264" s="46">
        <f>SUM(C265:C273)</f>
        <v>2.8258000000000001</v>
      </c>
      <c r="D264" s="46">
        <f>SUM(D265:D273)</f>
        <v>10.6966</v>
      </c>
      <c r="E264" s="46">
        <f>SUM(E265:E273)</f>
        <v>9.3904000000000014</v>
      </c>
      <c r="F264" s="46">
        <f>SUM(F265:F273)</f>
        <v>144.02200000000002</v>
      </c>
      <c r="G264" s="15">
        <f>F264/B264*100</f>
        <v>54.970229007633598</v>
      </c>
    </row>
    <row r="265" spans="1:7" ht="15.75" x14ac:dyDescent="0.25">
      <c r="A265" s="33" t="s">
        <v>176</v>
      </c>
      <c r="B265" s="60">
        <v>90</v>
      </c>
      <c r="C265" s="31">
        <v>0.54</v>
      </c>
      <c r="D265" s="31">
        <v>0</v>
      </c>
      <c r="E265" s="31">
        <v>3.42</v>
      </c>
      <c r="F265" s="31">
        <v>12.6</v>
      </c>
      <c r="G265" s="47"/>
    </row>
    <row r="266" spans="1:7" ht="15.75" x14ac:dyDescent="0.25">
      <c r="A266" s="33" t="s">
        <v>153</v>
      </c>
      <c r="B266" s="60">
        <v>65</v>
      </c>
      <c r="C266" s="31">
        <v>0.52</v>
      </c>
      <c r="D266" s="31">
        <v>6.5000000000000002E-2</v>
      </c>
      <c r="E266" s="31">
        <v>1.82</v>
      </c>
      <c r="F266" s="31">
        <v>9.75</v>
      </c>
      <c r="G266" s="39"/>
    </row>
    <row r="267" spans="1:7" ht="15.75" x14ac:dyDescent="0.25">
      <c r="A267" s="33" t="s">
        <v>177</v>
      </c>
      <c r="B267" s="60">
        <v>40</v>
      </c>
      <c r="C267" s="31">
        <v>0.48</v>
      </c>
      <c r="D267" s="31">
        <v>0.04</v>
      </c>
      <c r="E267" s="31">
        <v>1.36</v>
      </c>
      <c r="F267" s="31">
        <v>8</v>
      </c>
      <c r="G267" s="39"/>
    </row>
    <row r="268" spans="1:7" ht="15.75" x14ac:dyDescent="0.25">
      <c r="A268" s="33" t="s">
        <v>53</v>
      </c>
      <c r="B268" s="60">
        <v>14</v>
      </c>
      <c r="C268" s="31">
        <v>0.126</v>
      </c>
      <c r="D268" s="31">
        <v>1.4E-2</v>
      </c>
      <c r="E268" s="31">
        <v>0.84</v>
      </c>
      <c r="F268" s="31">
        <v>6.16</v>
      </c>
      <c r="G268" s="39"/>
    </row>
    <row r="269" spans="1:7" ht="15.75" x14ac:dyDescent="0.25">
      <c r="A269" s="33" t="s">
        <v>178</v>
      </c>
      <c r="B269" s="60">
        <v>1</v>
      </c>
      <c r="C269" s="31">
        <v>3.5000000000000003E-2</v>
      </c>
      <c r="D269" s="31">
        <v>1.0999999999999999E-2</v>
      </c>
      <c r="E269" s="31">
        <v>4.9000000000000002E-2</v>
      </c>
      <c r="F269" s="31">
        <v>0.43</v>
      </c>
      <c r="G269" s="39"/>
    </row>
    <row r="270" spans="1:7" ht="15.75" x14ac:dyDescent="0.25">
      <c r="A270" s="33" t="s">
        <v>17</v>
      </c>
      <c r="B270" s="60">
        <v>0.2</v>
      </c>
      <c r="C270" s="31">
        <v>2.0799999999999999E-2</v>
      </c>
      <c r="D270" s="31">
        <v>6.6E-3</v>
      </c>
      <c r="E270" s="31">
        <v>7.7399999999999997E-2</v>
      </c>
      <c r="F270" s="31">
        <v>0.502</v>
      </c>
      <c r="G270" s="39"/>
    </row>
    <row r="271" spans="1:7" ht="15.75" x14ac:dyDescent="0.25">
      <c r="A271" s="33" t="s">
        <v>18</v>
      </c>
      <c r="B271" s="60">
        <v>1</v>
      </c>
      <c r="C271" s="31">
        <v>0</v>
      </c>
      <c r="D271" s="31">
        <v>0</v>
      </c>
      <c r="E271" s="31">
        <v>0</v>
      </c>
      <c r="F271" s="31">
        <v>0</v>
      </c>
      <c r="G271" s="39"/>
    </row>
    <row r="272" spans="1:7" ht="15.75" x14ac:dyDescent="0.25">
      <c r="A272" s="33" t="s">
        <v>179</v>
      </c>
      <c r="B272" s="60">
        <v>2</v>
      </c>
      <c r="C272" s="31">
        <v>0</v>
      </c>
      <c r="D272" s="31">
        <v>0</v>
      </c>
      <c r="E272" s="31">
        <v>0</v>
      </c>
      <c r="F272" s="31">
        <v>0.02</v>
      </c>
      <c r="G272" s="39"/>
    </row>
    <row r="273" spans="1:7" ht="15.75" x14ac:dyDescent="0.25">
      <c r="A273" s="33" t="s">
        <v>180</v>
      </c>
      <c r="B273" s="60">
        <v>48</v>
      </c>
      <c r="C273" s="31">
        <v>1.1040000000000001</v>
      </c>
      <c r="D273" s="31">
        <v>10.56</v>
      </c>
      <c r="E273" s="31">
        <v>1.8240000000000001</v>
      </c>
      <c r="F273" s="31">
        <v>106.56</v>
      </c>
      <c r="G273" s="40"/>
    </row>
    <row r="274" spans="1:7" s="149" customFormat="1" ht="15.75" customHeight="1" x14ac:dyDescent="0.25">
      <c r="A274" s="130" t="s">
        <v>589</v>
      </c>
      <c r="B274" s="131">
        <f>SUM(B275:B282)</f>
        <v>210</v>
      </c>
      <c r="C274" s="132">
        <f>SUM(C275:C284)</f>
        <v>11.540499999999998</v>
      </c>
      <c r="D274" s="132">
        <f>SUM(D275:D284)</f>
        <v>18.8733</v>
      </c>
      <c r="E274" s="132">
        <f>SUM(E275:E284)</f>
        <v>19.270099999999999</v>
      </c>
      <c r="F274" s="132">
        <f>SUM(F275:F284)</f>
        <v>296.85749999999996</v>
      </c>
      <c r="G274" s="133">
        <f>F274/B274*100</f>
        <v>141.36071428571427</v>
      </c>
    </row>
    <row r="275" spans="1:7" s="149" customFormat="1" ht="18.75" customHeight="1" x14ac:dyDescent="0.25">
      <c r="A275" s="59" t="s">
        <v>590</v>
      </c>
      <c r="B275" s="151">
        <v>120</v>
      </c>
      <c r="C275" s="134">
        <v>2.3376000000000001</v>
      </c>
      <c r="D275" s="134">
        <v>2.5420800000000003</v>
      </c>
      <c r="E275" s="135">
        <v>12.510000000000002</v>
      </c>
      <c r="F275" s="136">
        <v>83.064000000000007</v>
      </c>
      <c r="G275" s="137"/>
    </row>
    <row r="276" spans="1:7" s="149" customFormat="1" ht="15.75" x14ac:dyDescent="0.25">
      <c r="A276" s="59" t="s">
        <v>591</v>
      </c>
      <c r="B276" s="151">
        <v>35</v>
      </c>
      <c r="C276" s="138">
        <v>0.22889999999999996</v>
      </c>
      <c r="D276" s="138">
        <v>2.3832199999999997</v>
      </c>
      <c r="E276" s="139">
        <v>5.8890999999999982</v>
      </c>
      <c r="F276" s="136">
        <v>45.713499999999996</v>
      </c>
      <c r="G276" s="140"/>
    </row>
    <row r="277" spans="1:7" s="149" customFormat="1" ht="20.25" customHeight="1" x14ac:dyDescent="0.25">
      <c r="A277" s="59" t="s">
        <v>592</v>
      </c>
      <c r="B277" s="151">
        <v>25</v>
      </c>
      <c r="C277" s="138">
        <v>2.5</v>
      </c>
      <c r="D277" s="138">
        <v>5.25</v>
      </c>
      <c r="E277" s="139">
        <v>0.47499999999999998</v>
      </c>
      <c r="F277" s="136">
        <v>59</v>
      </c>
      <c r="G277" s="140"/>
    </row>
    <row r="278" spans="1:7" s="149" customFormat="1" ht="19.5" customHeight="1" x14ac:dyDescent="0.25">
      <c r="A278" s="59" t="s">
        <v>216</v>
      </c>
      <c r="B278" s="151">
        <v>20</v>
      </c>
      <c r="C278" s="138">
        <v>5.64</v>
      </c>
      <c r="D278" s="138">
        <v>2.68</v>
      </c>
      <c r="E278" s="139">
        <v>0.08</v>
      </c>
      <c r="F278" s="136">
        <v>47</v>
      </c>
      <c r="G278" s="140"/>
    </row>
    <row r="279" spans="1:7" s="149" customFormat="1" ht="18.75" customHeight="1" x14ac:dyDescent="0.25">
      <c r="A279" s="59" t="s">
        <v>173</v>
      </c>
      <c r="B279" s="151">
        <v>4</v>
      </c>
      <c r="C279" s="138">
        <v>0</v>
      </c>
      <c r="D279" s="138">
        <v>3.6639999999999997</v>
      </c>
      <c r="E279" s="139">
        <v>0</v>
      </c>
      <c r="F279" s="136">
        <v>35.92</v>
      </c>
      <c r="G279" s="140"/>
    </row>
    <row r="280" spans="1:7" s="149" customFormat="1" ht="19.5" customHeight="1" x14ac:dyDescent="0.25">
      <c r="A280" s="59" t="s">
        <v>18</v>
      </c>
      <c r="B280" s="151">
        <v>2</v>
      </c>
      <c r="C280" s="138">
        <v>5.7999999999999996E-2</v>
      </c>
      <c r="D280" s="138">
        <v>8.0000000000000002E-3</v>
      </c>
      <c r="E280" s="139">
        <v>2.7999999999999997E-2</v>
      </c>
      <c r="F280" s="136">
        <v>0.46</v>
      </c>
      <c r="G280" s="140"/>
    </row>
    <row r="281" spans="1:7" s="149" customFormat="1" ht="18" customHeight="1" x14ac:dyDescent="0.25">
      <c r="A281" s="59" t="s">
        <v>593</v>
      </c>
      <c r="B281" s="151">
        <v>2</v>
      </c>
      <c r="C281" s="138">
        <v>0.27600000000000002</v>
      </c>
      <c r="D281" s="138">
        <v>1.226</v>
      </c>
      <c r="E281" s="139">
        <v>0.20399999999999999</v>
      </c>
      <c r="F281" s="136">
        <v>12.96</v>
      </c>
      <c r="G281" s="140"/>
    </row>
    <row r="282" spans="1:7" s="149" customFormat="1" ht="17.25" customHeight="1" x14ac:dyDescent="0.25">
      <c r="A282" s="59" t="s">
        <v>594</v>
      </c>
      <c r="B282" s="151">
        <v>2</v>
      </c>
      <c r="C282" s="138">
        <v>0.5</v>
      </c>
      <c r="D282" s="138">
        <v>1.1200000000000001</v>
      </c>
      <c r="E282" s="139">
        <v>8.4000000000000005E-2</v>
      </c>
      <c r="F282" s="136">
        <v>12.74</v>
      </c>
      <c r="G282" s="140"/>
    </row>
    <row r="283" spans="1:7" s="149" customFormat="1" ht="19.5" customHeight="1" x14ac:dyDescent="0.25">
      <c r="A283" s="59" t="s">
        <v>127</v>
      </c>
      <c r="B283" s="151"/>
      <c r="C283" s="138"/>
      <c r="D283" s="138"/>
      <c r="E283" s="139"/>
      <c r="F283" s="136"/>
      <c r="G283" s="140"/>
    </row>
    <row r="284" spans="1:7" s="149" customFormat="1" ht="47.25" customHeight="1" x14ac:dyDescent="0.25">
      <c r="A284" s="70" t="s">
        <v>595</v>
      </c>
      <c r="B284" s="151"/>
      <c r="C284" s="138"/>
      <c r="D284" s="138"/>
      <c r="E284" s="139"/>
      <c r="F284" s="136"/>
      <c r="G284" s="140"/>
    </row>
    <row r="285" spans="1:7" ht="15.75" x14ac:dyDescent="0.25">
      <c r="A285" s="44" t="s">
        <v>181</v>
      </c>
      <c r="B285" s="45">
        <v>225</v>
      </c>
      <c r="C285" s="46">
        <f>SUM(C286:C296)</f>
        <v>17.251300000000001</v>
      </c>
      <c r="D285" s="46">
        <f>SUM(D286:D296)</f>
        <v>30.800599999999999</v>
      </c>
      <c r="E285" s="46">
        <f>SUM(E286:E296)</f>
        <v>14.870400000000002</v>
      </c>
      <c r="F285" s="46">
        <f>SUM(F286:F296)</f>
        <v>408.53399999999999</v>
      </c>
      <c r="G285" s="15">
        <f>F285/B285*100</f>
        <v>181.57066666666665</v>
      </c>
    </row>
    <row r="286" spans="1:7" ht="15.75" x14ac:dyDescent="0.25">
      <c r="A286" s="33" t="s">
        <v>182</v>
      </c>
      <c r="B286" s="60">
        <v>40</v>
      </c>
      <c r="C286" s="31">
        <v>12.484</v>
      </c>
      <c r="D286" s="31">
        <v>6.7759999999999998</v>
      </c>
      <c r="E286" s="31">
        <v>0.248</v>
      </c>
      <c r="F286" s="31">
        <v>114.904</v>
      </c>
      <c r="G286" s="47"/>
    </row>
    <row r="287" spans="1:7" ht="15.75" x14ac:dyDescent="0.25">
      <c r="A287" s="33" t="s">
        <v>183</v>
      </c>
      <c r="B287" s="60">
        <v>70</v>
      </c>
      <c r="C287" s="31">
        <v>1.33</v>
      </c>
      <c r="D287" s="31">
        <v>0.28000000000000003</v>
      </c>
      <c r="E287" s="31">
        <v>10.71</v>
      </c>
      <c r="F287" s="31">
        <v>50.75</v>
      </c>
      <c r="G287" s="47"/>
    </row>
    <row r="288" spans="1:7" ht="15.75" x14ac:dyDescent="0.25">
      <c r="A288" s="33" t="s">
        <v>177</v>
      </c>
      <c r="B288" s="60">
        <v>5</v>
      </c>
      <c r="C288" s="31">
        <v>0.06</v>
      </c>
      <c r="D288" s="31">
        <v>5.0000000000000001E-3</v>
      </c>
      <c r="E288" s="31">
        <v>0.17</v>
      </c>
      <c r="F288" s="31">
        <v>1</v>
      </c>
      <c r="G288" s="47"/>
    </row>
    <row r="289" spans="1:7" ht="15.75" x14ac:dyDescent="0.25">
      <c r="A289" s="33" t="s">
        <v>153</v>
      </c>
      <c r="B289" s="60">
        <v>30</v>
      </c>
      <c r="C289" s="31">
        <v>0.24</v>
      </c>
      <c r="D289" s="31">
        <v>0.03</v>
      </c>
      <c r="E289" s="31">
        <v>0.84</v>
      </c>
      <c r="F289" s="31">
        <v>4.5</v>
      </c>
      <c r="G289" s="47"/>
    </row>
    <row r="290" spans="1:7" ht="15.75" x14ac:dyDescent="0.25">
      <c r="A290" s="33" t="s">
        <v>184</v>
      </c>
      <c r="B290" s="60">
        <v>20</v>
      </c>
      <c r="C290" s="31">
        <v>0.16</v>
      </c>
      <c r="D290" s="31">
        <v>0.02</v>
      </c>
      <c r="E290" s="31">
        <v>0.56000000000000005</v>
      </c>
      <c r="F290" s="31">
        <v>3</v>
      </c>
      <c r="G290" s="39"/>
    </row>
    <row r="291" spans="1:7" ht="15.75" x14ac:dyDescent="0.25">
      <c r="A291" s="33" t="s">
        <v>185</v>
      </c>
      <c r="B291" s="60">
        <v>30</v>
      </c>
      <c r="C291" s="31">
        <v>0.75</v>
      </c>
      <c r="D291" s="31">
        <v>0.09</v>
      </c>
      <c r="E291" s="31">
        <v>0.9</v>
      </c>
      <c r="F291" s="31">
        <v>7.41</v>
      </c>
      <c r="G291" s="39"/>
    </row>
    <row r="292" spans="1:7" ht="15.75" x14ac:dyDescent="0.25">
      <c r="A292" s="33" t="s">
        <v>186</v>
      </c>
      <c r="B292" s="60">
        <v>30</v>
      </c>
      <c r="C292" s="31">
        <v>2.1179999999999999</v>
      </c>
      <c r="D292" s="31">
        <v>15.144</v>
      </c>
      <c r="E292" s="31">
        <v>0.97799999999999998</v>
      </c>
      <c r="F292" s="31">
        <v>148.59299999999999</v>
      </c>
      <c r="G292" s="39"/>
    </row>
    <row r="293" spans="1:7" ht="15.75" x14ac:dyDescent="0.25">
      <c r="A293" s="33" t="s">
        <v>187</v>
      </c>
      <c r="B293" s="60">
        <v>5</v>
      </c>
      <c r="C293" s="31">
        <v>8.8499999999999995E-2</v>
      </c>
      <c r="D293" s="31">
        <v>3.4540000000000002</v>
      </c>
      <c r="E293" s="31">
        <v>0.38700000000000001</v>
      </c>
      <c r="F293" s="31">
        <v>32.924999999999997</v>
      </c>
      <c r="G293" s="39"/>
    </row>
    <row r="294" spans="1:7" ht="15.75" x14ac:dyDescent="0.25">
      <c r="A294" s="33" t="s">
        <v>23</v>
      </c>
      <c r="B294" s="60">
        <v>5</v>
      </c>
      <c r="C294" s="31">
        <v>0</v>
      </c>
      <c r="D294" s="31">
        <v>4.9950000000000001</v>
      </c>
      <c r="E294" s="31">
        <v>0</v>
      </c>
      <c r="F294" s="31">
        <v>44.95</v>
      </c>
      <c r="G294" s="39"/>
    </row>
    <row r="295" spans="1:7" ht="15.75" x14ac:dyDescent="0.25">
      <c r="A295" s="33" t="s">
        <v>17</v>
      </c>
      <c r="B295" s="60">
        <v>0.2</v>
      </c>
      <c r="C295" s="31">
        <v>2.0799999999999999E-2</v>
      </c>
      <c r="D295" s="31">
        <v>6.6E-3</v>
      </c>
      <c r="E295" s="31">
        <v>7.7399999999999997E-2</v>
      </c>
      <c r="F295" s="31">
        <v>0.502</v>
      </c>
      <c r="G295" s="39"/>
    </row>
    <row r="296" spans="1:7" ht="15.75" x14ac:dyDescent="0.25">
      <c r="A296" s="33" t="s">
        <v>18</v>
      </c>
      <c r="B296" s="60">
        <v>2</v>
      </c>
      <c r="C296" s="71">
        <v>0</v>
      </c>
      <c r="D296" s="71">
        <v>0</v>
      </c>
      <c r="E296" s="71">
        <v>0</v>
      </c>
      <c r="F296" s="71">
        <v>0</v>
      </c>
      <c r="G296" s="40"/>
    </row>
    <row r="297" spans="1:7" ht="31.5" x14ac:dyDescent="0.25">
      <c r="A297" s="70" t="s">
        <v>188</v>
      </c>
      <c r="B297" s="179"/>
      <c r="C297" s="180"/>
      <c r="D297" s="180"/>
      <c r="E297" s="180"/>
      <c r="F297" s="180"/>
      <c r="G297" s="181"/>
    </row>
    <row r="298" spans="1:7" ht="21" x14ac:dyDescent="0.25">
      <c r="A298" s="174" t="s">
        <v>189</v>
      </c>
      <c r="B298" s="175"/>
      <c r="C298" s="175"/>
      <c r="D298" s="175"/>
      <c r="E298" s="175"/>
      <c r="F298" s="175"/>
      <c r="G298" s="176"/>
    </row>
    <row r="299" spans="1:7" ht="15.75" x14ac:dyDescent="0.25">
      <c r="A299" s="3" t="s">
        <v>190</v>
      </c>
      <c r="B299" s="4">
        <v>183</v>
      </c>
      <c r="C299" s="5">
        <f>SUM(C300:C309)</f>
        <v>15.807000000000002</v>
      </c>
      <c r="D299" s="5">
        <f>SUM(D300:D309)</f>
        <v>26.902999999999995</v>
      </c>
      <c r="E299" s="5">
        <f>SUM(E300:E309)</f>
        <v>24.542999999999999</v>
      </c>
      <c r="F299" s="5">
        <f>SUM(F300:F309)</f>
        <v>406.66800000000001</v>
      </c>
      <c r="G299" s="6">
        <f>F299/B299*100</f>
        <v>222.22295081967212</v>
      </c>
    </row>
    <row r="300" spans="1:7" ht="15.75" x14ac:dyDescent="0.25">
      <c r="A300" s="59" t="s">
        <v>191</v>
      </c>
      <c r="B300" s="60">
        <v>40</v>
      </c>
      <c r="C300" s="9">
        <v>2.3199999999999998</v>
      </c>
      <c r="D300" s="9">
        <v>0.4</v>
      </c>
      <c r="E300" s="9">
        <v>17.399999999999999</v>
      </c>
      <c r="F300" s="10">
        <v>81.88</v>
      </c>
      <c r="G300" s="9"/>
    </row>
    <row r="301" spans="1:7" ht="15.75" x14ac:dyDescent="0.25">
      <c r="A301" s="59" t="s">
        <v>192</v>
      </c>
      <c r="B301" s="60">
        <v>60</v>
      </c>
      <c r="C301" s="9">
        <v>11.682</v>
      </c>
      <c r="D301" s="10">
        <v>7.0019999999999998</v>
      </c>
      <c r="E301" s="9">
        <v>1.3740000000000001</v>
      </c>
      <c r="F301" s="9">
        <v>109.038</v>
      </c>
      <c r="G301" s="9"/>
    </row>
    <row r="302" spans="1:7" ht="15.75" x14ac:dyDescent="0.25">
      <c r="A302" s="59" t="s">
        <v>193</v>
      </c>
      <c r="B302" s="60">
        <v>15</v>
      </c>
      <c r="C302" s="10">
        <v>0.9</v>
      </c>
      <c r="D302" s="10">
        <v>3.9</v>
      </c>
      <c r="E302" s="10">
        <v>0.45</v>
      </c>
      <c r="F302" s="10">
        <v>40.5</v>
      </c>
      <c r="G302" s="9"/>
    </row>
    <row r="303" spans="1:7" ht="15.75" x14ac:dyDescent="0.25">
      <c r="A303" s="59" t="s">
        <v>168</v>
      </c>
      <c r="B303" s="60">
        <v>10</v>
      </c>
      <c r="C303" s="10">
        <v>0.08</v>
      </c>
      <c r="D303" s="10">
        <v>0.01</v>
      </c>
      <c r="E303" s="10">
        <v>0.28000000000000003</v>
      </c>
      <c r="F303" s="10">
        <v>1.5</v>
      </c>
      <c r="G303" s="9"/>
    </row>
    <row r="304" spans="1:7" ht="15.75" x14ac:dyDescent="0.25">
      <c r="A304" s="59" t="s">
        <v>194</v>
      </c>
      <c r="B304" s="60">
        <v>15</v>
      </c>
      <c r="C304" s="9">
        <v>0.3</v>
      </c>
      <c r="D304" s="9">
        <v>6.3</v>
      </c>
      <c r="E304" s="10">
        <v>2.5499999999999998</v>
      </c>
      <c r="F304" s="9">
        <v>69.900000000000006</v>
      </c>
      <c r="G304" s="9"/>
    </row>
    <row r="305" spans="1:7" ht="15.75" x14ac:dyDescent="0.25">
      <c r="A305" s="59" t="s">
        <v>18</v>
      </c>
      <c r="B305" s="60">
        <v>1</v>
      </c>
      <c r="C305" s="9">
        <v>0</v>
      </c>
      <c r="D305" s="9">
        <v>0</v>
      </c>
      <c r="E305" s="10">
        <v>0</v>
      </c>
      <c r="F305" s="9">
        <v>0</v>
      </c>
      <c r="G305" s="9"/>
    </row>
    <row r="306" spans="1:7" ht="15.75" x14ac:dyDescent="0.25">
      <c r="A306" s="59" t="s">
        <v>195</v>
      </c>
      <c r="B306" s="60">
        <v>1</v>
      </c>
      <c r="C306" s="9">
        <v>3.5000000000000003E-2</v>
      </c>
      <c r="D306" s="9">
        <v>1.0999999999999999E-2</v>
      </c>
      <c r="E306" s="10">
        <v>4.9000000000000002E-2</v>
      </c>
      <c r="F306" s="9">
        <v>0.43</v>
      </c>
      <c r="G306" s="9"/>
    </row>
    <row r="307" spans="1:7" ht="15.75" x14ac:dyDescent="0.25">
      <c r="A307" s="59" t="s">
        <v>173</v>
      </c>
      <c r="B307" s="60">
        <v>10</v>
      </c>
      <c r="C307" s="9">
        <v>0</v>
      </c>
      <c r="D307" s="9">
        <v>9.16</v>
      </c>
      <c r="E307" s="10">
        <v>0</v>
      </c>
      <c r="F307" s="9">
        <v>89.8</v>
      </c>
      <c r="G307" s="9"/>
    </row>
    <row r="308" spans="1:7" ht="15.75" x14ac:dyDescent="0.25">
      <c r="A308" s="59" t="s">
        <v>196</v>
      </c>
      <c r="B308" s="60">
        <v>1</v>
      </c>
      <c r="C308" s="10">
        <v>0.22</v>
      </c>
      <c r="D308" s="10">
        <v>0.06</v>
      </c>
      <c r="E308" s="10">
        <v>0.01</v>
      </c>
      <c r="F308" s="10">
        <v>0.72</v>
      </c>
      <c r="G308" s="9"/>
    </row>
    <row r="309" spans="1:7" ht="15.75" x14ac:dyDescent="0.25">
      <c r="A309" s="59" t="s">
        <v>197</v>
      </c>
      <c r="B309" s="60">
        <v>30</v>
      </c>
      <c r="C309" s="10">
        <v>0.27</v>
      </c>
      <c r="D309" s="10">
        <v>0.06</v>
      </c>
      <c r="E309" s="10">
        <v>2.4300000000000002</v>
      </c>
      <c r="F309" s="10">
        <v>12.9</v>
      </c>
      <c r="G309" s="9"/>
    </row>
    <row r="310" spans="1:7" ht="15.75" x14ac:dyDescent="0.25">
      <c r="A310" s="3" t="s">
        <v>198</v>
      </c>
      <c r="B310" s="4">
        <v>235</v>
      </c>
      <c r="C310" s="5">
        <f>SUM(C311:C320)</f>
        <v>16.098199999999999</v>
      </c>
      <c r="D310" s="5">
        <f>SUM(D311:D320)</f>
        <v>25.856100000000001</v>
      </c>
      <c r="E310" s="5">
        <f>SUM(E311:E320)</f>
        <v>29.078499999999998</v>
      </c>
      <c r="F310" s="5">
        <f>SUM(F311:F320)</f>
        <v>395.9205</v>
      </c>
      <c r="G310" s="15">
        <f>F310/B310*100</f>
        <v>168.47680851063831</v>
      </c>
    </row>
    <row r="311" spans="1:7" ht="15.75" x14ac:dyDescent="0.25">
      <c r="A311" s="59" t="s">
        <v>191</v>
      </c>
      <c r="B311" s="60">
        <v>40</v>
      </c>
      <c r="C311" s="17">
        <v>2.3199999999999998</v>
      </c>
      <c r="D311" s="17">
        <v>0.4</v>
      </c>
      <c r="E311" s="17">
        <v>17.399999999999999</v>
      </c>
      <c r="F311" s="17">
        <v>81.88</v>
      </c>
      <c r="G311" s="18"/>
    </row>
    <row r="312" spans="1:7" ht="15.75" x14ac:dyDescent="0.25">
      <c r="A312" s="59" t="s">
        <v>199</v>
      </c>
      <c r="B312" s="60">
        <v>20</v>
      </c>
      <c r="C312" s="10">
        <v>0.69440000000000002</v>
      </c>
      <c r="D312" s="10">
        <v>10.586</v>
      </c>
      <c r="E312" s="10">
        <v>1.2145999999999999</v>
      </c>
      <c r="F312" s="10">
        <v>103.33</v>
      </c>
      <c r="G312" s="20"/>
    </row>
    <row r="313" spans="1:7" ht="15.75" x14ac:dyDescent="0.25">
      <c r="A313" s="59" t="s">
        <v>119</v>
      </c>
      <c r="B313" s="60">
        <v>20</v>
      </c>
      <c r="C313" s="10">
        <v>0.4</v>
      </c>
      <c r="D313" s="10">
        <v>3</v>
      </c>
      <c r="E313" s="10">
        <v>1.6</v>
      </c>
      <c r="F313" s="10">
        <v>32</v>
      </c>
      <c r="G313" s="20"/>
    </row>
    <row r="314" spans="1:7" ht="15.75" x14ac:dyDescent="0.25">
      <c r="A314" s="59" t="s">
        <v>200</v>
      </c>
      <c r="B314" s="60">
        <v>15</v>
      </c>
      <c r="C314" s="10">
        <v>0.441</v>
      </c>
      <c r="D314" s="10">
        <v>4.8315000000000001</v>
      </c>
      <c r="E314" s="10">
        <v>4.6725000000000003</v>
      </c>
      <c r="F314" s="10">
        <v>57.670499999999997</v>
      </c>
      <c r="G314" s="20"/>
    </row>
    <row r="315" spans="1:7" ht="15.75" x14ac:dyDescent="0.25">
      <c r="A315" s="59" t="s">
        <v>192</v>
      </c>
      <c r="B315" s="60">
        <v>60</v>
      </c>
      <c r="C315" s="10">
        <v>11.682</v>
      </c>
      <c r="D315" s="10">
        <v>7.0019999999999998</v>
      </c>
      <c r="E315" s="10">
        <v>1.3740000000000001</v>
      </c>
      <c r="F315" s="10">
        <v>109.038</v>
      </c>
      <c r="G315" s="20"/>
    </row>
    <row r="316" spans="1:7" ht="15.75" x14ac:dyDescent="0.25">
      <c r="A316" s="59" t="s">
        <v>17</v>
      </c>
      <c r="B316" s="60">
        <v>0.2</v>
      </c>
      <c r="C316" s="10">
        <v>2.0799999999999999E-2</v>
      </c>
      <c r="D316" s="10">
        <v>6.6E-3</v>
      </c>
      <c r="E316" s="10">
        <v>7.7399999999999997E-2</v>
      </c>
      <c r="F316" s="10">
        <v>0.502</v>
      </c>
      <c r="G316" s="20"/>
    </row>
    <row r="317" spans="1:7" ht="15.75" x14ac:dyDescent="0.25">
      <c r="A317" s="59" t="s">
        <v>18</v>
      </c>
      <c r="B317" s="60">
        <v>1</v>
      </c>
      <c r="C317" s="10">
        <v>0</v>
      </c>
      <c r="D317" s="10">
        <v>0</v>
      </c>
      <c r="E317" s="10">
        <v>0</v>
      </c>
      <c r="F317" s="10">
        <v>0</v>
      </c>
      <c r="G317" s="20"/>
    </row>
    <row r="318" spans="1:7" ht="15.75" x14ac:dyDescent="0.25">
      <c r="A318" s="59" t="s">
        <v>113</v>
      </c>
      <c r="B318" s="60">
        <v>50</v>
      </c>
      <c r="C318" s="12">
        <v>0.3</v>
      </c>
      <c r="D318" s="12">
        <v>0</v>
      </c>
      <c r="E318" s="12">
        <v>1.9</v>
      </c>
      <c r="F318" s="12">
        <v>7</v>
      </c>
      <c r="G318" s="22"/>
    </row>
    <row r="319" spans="1:7" ht="15.75" x14ac:dyDescent="0.25">
      <c r="A319" s="59" t="s">
        <v>201</v>
      </c>
      <c r="B319" s="60">
        <v>30</v>
      </c>
      <c r="C319" s="10">
        <v>0.24</v>
      </c>
      <c r="D319" s="10">
        <v>0.03</v>
      </c>
      <c r="E319" s="10">
        <v>0.84</v>
      </c>
      <c r="F319" s="10">
        <v>4.5</v>
      </c>
      <c r="G319" s="22"/>
    </row>
    <row r="320" spans="1:7" ht="15.75" x14ac:dyDescent="0.25">
      <c r="A320" s="59" t="s">
        <v>202</v>
      </c>
      <c r="B320" s="182"/>
      <c r="C320" s="183"/>
      <c r="D320" s="183"/>
      <c r="E320" s="183"/>
      <c r="F320" s="183"/>
      <c r="G320" s="184"/>
    </row>
    <row r="321" spans="1:7" ht="15.75" x14ac:dyDescent="0.25">
      <c r="A321" s="14" t="s">
        <v>203</v>
      </c>
      <c r="B321" s="4">
        <v>181</v>
      </c>
      <c r="C321" s="5">
        <f>SUM(C322:C330)</f>
        <v>19.597669199999999</v>
      </c>
      <c r="D321" s="5">
        <f>SUM(D322:D330)</f>
        <v>26.330142799999997</v>
      </c>
      <c r="E321" s="5">
        <f>SUM(E322:E330)</f>
        <v>27.180836399999997</v>
      </c>
      <c r="F321" s="5">
        <f>SUM(F322:F330)</f>
        <v>430.53199999999993</v>
      </c>
      <c r="G321" s="15">
        <f>F321/B321*100</f>
        <v>237.86298342541431</v>
      </c>
    </row>
    <row r="322" spans="1:7" ht="15.75" x14ac:dyDescent="0.25">
      <c r="A322" s="59" t="s">
        <v>191</v>
      </c>
      <c r="B322" s="60">
        <v>40</v>
      </c>
      <c r="C322" s="23">
        <v>2.3199999999999998</v>
      </c>
      <c r="D322" s="23">
        <v>0.4</v>
      </c>
      <c r="E322" s="23">
        <v>17.399999999999999</v>
      </c>
      <c r="F322" s="23">
        <v>81.88</v>
      </c>
      <c r="G322" s="18"/>
    </row>
    <row r="323" spans="1:7" ht="15.75" x14ac:dyDescent="0.25">
      <c r="A323" s="59" t="s">
        <v>204</v>
      </c>
      <c r="B323" s="60">
        <v>50</v>
      </c>
      <c r="C323" s="10">
        <v>15.605</v>
      </c>
      <c r="D323" s="10">
        <v>8.4700000000000006</v>
      </c>
      <c r="E323" s="10">
        <v>0.31</v>
      </c>
      <c r="F323" s="10">
        <v>143.63</v>
      </c>
      <c r="G323" s="20"/>
    </row>
    <row r="324" spans="1:7" ht="15.75" x14ac:dyDescent="0.25">
      <c r="A324" s="59" t="s">
        <v>168</v>
      </c>
      <c r="B324" s="60">
        <v>10</v>
      </c>
      <c r="C324" s="10">
        <v>0.08</v>
      </c>
      <c r="D324" s="10">
        <v>0.01</v>
      </c>
      <c r="E324" s="10">
        <v>0.28000000000000003</v>
      </c>
      <c r="F324" s="10">
        <v>1.5</v>
      </c>
      <c r="G324" s="20"/>
    </row>
    <row r="325" spans="1:7" ht="15.75" x14ac:dyDescent="0.25">
      <c r="A325" s="59" t="s">
        <v>205</v>
      </c>
      <c r="B325" s="60">
        <v>40</v>
      </c>
      <c r="C325" s="10">
        <v>0.92</v>
      </c>
      <c r="D325" s="10">
        <v>16.12</v>
      </c>
      <c r="E325" s="10">
        <v>5.88</v>
      </c>
      <c r="F325" s="10">
        <v>178.4</v>
      </c>
      <c r="G325" s="20"/>
    </row>
    <row r="326" spans="1:7" ht="15.75" x14ac:dyDescent="0.25">
      <c r="A326" s="59" t="s">
        <v>206</v>
      </c>
      <c r="B326" s="60">
        <v>20</v>
      </c>
      <c r="C326" s="10">
        <v>0.41151919999999997</v>
      </c>
      <c r="D326" s="10">
        <v>0.20570279999999999</v>
      </c>
      <c r="E326" s="10">
        <v>1.6831963999999999</v>
      </c>
      <c r="F326" s="10">
        <v>10.484</v>
      </c>
      <c r="G326" s="20"/>
    </row>
    <row r="327" spans="1:7" ht="15.75" x14ac:dyDescent="0.25">
      <c r="A327" s="59" t="s">
        <v>114</v>
      </c>
      <c r="B327" s="60">
        <v>1</v>
      </c>
      <c r="C327" s="9">
        <v>1.4E-2</v>
      </c>
      <c r="D327" s="9">
        <v>2E-3</v>
      </c>
      <c r="E327" s="9">
        <v>8.2000000000000003E-2</v>
      </c>
      <c r="F327" s="9">
        <v>0.41</v>
      </c>
      <c r="G327" s="20"/>
    </row>
    <row r="328" spans="1:7" ht="15.75" x14ac:dyDescent="0.25">
      <c r="A328" s="59" t="s">
        <v>207</v>
      </c>
      <c r="B328" s="60">
        <v>10</v>
      </c>
      <c r="C328" s="10">
        <v>0.14419000000000001</v>
      </c>
      <c r="D328" s="10">
        <v>0.52217000000000002</v>
      </c>
      <c r="E328" s="10">
        <v>0.45251999999999998</v>
      </c>
      <c r="F328" s="77">
        <v>4.4797000000000002</v>
      </c>
      <c r="G328" s="20"/>
    </row>
    <row r="329" spans="1:7" ht="15.75" x14ac:dyDescent="0.25">
      <c r="A329" s="59" t="s">
        <v>208</v>
      </c>
      <c r="B329" s="60">
        <v>10</v>
      </c>
      <c r="C329" s="10">
        <v>0.10296</v>
      </c>
      <c r="D329" s="10">
        <v>0.60026999999999997</v>
      </c>
      <c r="E329" s="10">
        <v>1.0931200000000001</v>
      </c>
      <c r="F329" s="10">
        <v>9.7483000000000004</v>
      </c>
      <c r="G329" s="9"/>
    </row>
    <row r="330" spans="1:7" ht="31.5" x14ac:dyDescent="0.25">
      <c r="A330" s="70" t="s">
        <v>209</v>
      </c>
      <c r="B330" s="185"/>
      <c r="C330" s="186"/>
      <c r="D330" s="186"/>
      <c r="E330" s="186"/>
      <c r="F330" s="186"/>
      <c r="G330" s="187"/>
    </row>
    <row r="331" spans="1:7" ht="15.75" x14ac:dyDescent="0.25">
      <c r="A331" s="36" t="s">
        <v>210</v>
      </c>
      <c r="B331" s="26">
        <v>280</v>
      </c>
      <c r="C331" s="73">
        <f>SUM(C332:C340)</f>
        <v>18.991000000000003</v>
      </c>
      <c r="D331" s="73">
        <f>SUM(D332:D340)</f>
        <v>30.900000000000002</v>
      </c>
      <c r="E331" s="73">
        <f>SUM(E332:E340)</f>
        <v>37.00800000000001</v>
      </c>
      <c r="F331" s="73">
        <f>SUM(F332:F340)</f>
        <v>503.49</v>
      </c>
      <c r="G331" s="15">
        <f>F331/B331*100</f>
        <v>179.81785714285715</v>
      </c>
    </row>
    <row r="332" spans="1:7" ht="15.75" x14ac:dyDescent="0.25">
      <c r="A332" s="59" t="s">
        <v>211</v>
      </c>
      <c r="B332" s="60">
        <v>50</v>
      </c>
      <c r="C332" s="31">
        <v>7</v>
      </c>
      <c r="D332" s="31">
        <v>8.3000000000000007</v>
      </c>
      <c r="E332" s="31">
        <v>0</v>
      </c>
      <c r="F332" s="31">
        <v>102.5</v>
      </c>
      <c r="G332" s="40"/>
    </row>
    <row r="333" spans="1:7" ht="15.75" x14ac:dyDescent="0.25">
      <c r="A333" s="59" t="s">
        <v>212</v>
      </c>
      <c r="B333" s="60">
        <v>50</v>
      </c>
      <c r="C333" s="31">
        <v>3</v>
      </c>
      <c r="D333" s="31">
        <v>0.5</v>
      </c>
      <c r="E333" s="31">
        <v>22</v>
      </c>
      <c r="F333" s="31">
        <v>105</v>
      </c>
      <c r="G333" s="39"/>
    </row>
    <row r="334" spans="1:7" ht="15.75" x14ac:dyDescent="0.25">
      <c r="A334" s="59" t="s">
        <v>22</v>
      </c>
      <c r="B334" s="60">
        <v>50</v>
      </c>
      <c r="C334" s="31">
        <v>6.35</v>
      </c>
      <c r="D334" s="31">
        <v>5.75</v>
      </c>
      <c r="E334" s="31">
        <v>0.35</v>
      </c>
      <c r="F334" s="31">
        <v>78.5</v>
      </c>
      <c r="G334" s="39"/>
    </row>
    <row r="335" spans="1:7" ht="15.75" x14ac:dyDescent="0.25">
      <c r="A335" s="59" t="s">
        <v>213</v>
      </c>
      <c r="B335" s="60">
        <v>80</v>
      </c>
      <c r="C335" s="31">
        <v>1.52</v>
      </c>
      <c r="D335" s="31">
        <v>0.32</v>
      </c>
      <c r="E335" s="31">
        <v>12.24</v>
      </c>
      <c r="F335" s="31">
        <v>58</v>
      </c>
      <c r="G335" s="39"/>
    </row>
    <row r="336" spans="1:7" ht="15.75" x14ac:dyDescent="0.25">
      <c r="A336" s="59" t="s">
        <v>15</v>
      </c>
      <c r="B336" s="60">
        <v>3</v>
      </c>
      <c r="C336" s="31">
        <v>2.1000000000000001E-2</v>
      </c>
      <c r="D336" s="31">
        <v>2.46</v>
      </c>
      <c r="E336" s="31">
        <v>1.7999999999999999E-2</v>
      </c>
      <c r="F336" s="31">
        <v>22.29</v>
      </c>
      <c r="G336" s="39"/>
    </row>
    <row r="337" spans="1:7" ht="15.75" x14ac:dyDescent="0.25">
      <c r="A337" s="59" t="s">
        <v>53</v>
      </c>
      <c r="B337" s="60">
        <v>10</v>
      </c>
      <c r="C337" s="31">
        <v>0.09</v>
      </c>
      <c r="D337" s="31">
        <v>0.01</v>
      </c>
      <c r="E337" s="31">
        <v>0.6</v>
      </c>
      <c r="F337" s="31">
        <v>4.4000000000000004</v>
      </c>
      <c r="G337" s="39"/>
    </row>
    <row r="338" spans="1:7" ht="15.75" x14ac:dyDescent="0.25">
      <c r="A338" s="59" t="s">
        <v>195</v>
      </c>
      <c r="B338" s="60">
        <v>10</v>
      </c>
      <c r="C338" s="71">
        <v>0.35</v>
      </c>
      <c r="D338" s="71">
        <v>0.11</v>
      </c>
      <c r="E338" s="71">
        <v>0.49</v>
      </c>
      <c r="F338" s="71">
        <v>4.3</v>
      </c>
      <c r="G338" s="40"/>
    </row>
    <row r="339" spans="1:7" ht="15.75" x14ac:dyDescent="0.25">
      <c r="A339" s="59" t="s">
        <v>98</v>
      </c>
      <c r="B339" s="60">
        <v>20</v>
      </c>
      <c r="C339" s="31">
        <v>0.56000000000000005</v>
      </c>
      <c r="D339" s="31">
        <v>13.4</v>
      </c>
      <c r="E339" s="31">
        <v>0.74</v>
      </c>
      <c r="F339" s="31">
        <v>125.8</v>
      </c>
      <c r="G339" s="39"/>
    </row>
    <row r="340" spans="1:7" ht="15.75" x14ac:dyDescent="0.25">
      <c r="A340" s="59" t="s">
        <v>214</v>
      </c>
      <c r="B340" s="60">
        <v>10</v>
      </c>
      <c r="C340" s="31">
        <v>0.1</v>
      </c>
      <c r="D340" s="31">
        <v>0.05</v>
      </c>
      <c r="E340" s="31">
        <v>0.56999999999999995</v>
      </c>
      <c r="F340" s="31">
        <v>2.7</v>
      </c>
      <c r="G340" s="40"/>
    </row>
    <row r="341" spans="1:7" ht="15.75" x14ac:dyDescent="0.25">
      <c r="A341" s="44" t="s">
        <v>215</v>
      </c>
      <c r="B341" s="72">
        <v>180</v>
      </c>
      <c r="C341" s="73">
        <f>SUM(C342:C347)</f>
        <v>42.513999999999996</v>
      </c>
      <c r="D341" s="73">
        <f>SUM(D342:D347)</f>
        <v>18.835999999999999</v>
      </c>
      <c r="E341" s="73">
        <f>SUM(E342:E347)</f>
        <v>17.658000000000001</v>
      </c>
      <c r="F341" s="73">
        <f>SUM(F342:F347)</f>
        <v>414.10399999999998</v>
      </c>
      <c r="G341" s="69">
        <f>F341/B341*100</f>
        <v>230.05777777777777</v>
      </c>
    </row>
    <row r="342" spans="1:7" ht="15.75" x14ac:dyDescent="0.25">
      <c r="A342" s="59" t="s">
        <v>216</v>
      </c>
      <c r="B342" s="60">
        <v>40</v>
      </c>
      <c r="C342" s="31">
        <v>11.28</v>
      </c>
      <c r="D342" s="31">
        <v>5.36</v>
      </c>
      <c r="E342" s="31">
        <v>0.16</v>
      </c>
      <c r="F342" s="31">
        <v>94</v>
      </c>
      <c r="G342" s="39"/>
    </row>
    <row r="343" spans="1:7" ht="15.75" x14ac:dyDescent="0.25">
      <c r="A343" s="59" t="s">
        <v>204</v>
      </c>
      <c r="B343" s="60">
        <v>40</v>
      </c>
      <c r="C343" s="31">
        <v>12.484</v>
      </c>
      <c r="D343" s="31">
        <v>6.7759999999999998</v>
      </c>
      <c r="E343" s="31">
        <v>0.248</v>
      </c>
      <c r="F343" s="31">
        <v>114.904</v>
      </c>
      <c r="G343" s="40"/>
    </row>
    <row r="344" spans="1:7" ht="15.75" x14ac:dyDescent="0.25">
      <c r="A344" s="59" t="s">
        <v>217</v>
      </c>
      <c r="B344" s="60">
        <v>40</v>
      </c>
      <c r="C344" s="31">
        <v>13.6</v>
      </c>
      <c r="D344" s="31">
        <v>1.2</v>
      </c>
      <c r="E344" s="31">
        <v>0.2</v>
      </c>
      <c r="F344" s="31">
        <v>66</v>
      </c>
      <c r="G344" s="40"/>
    </row>
    <row r="345" spans="1:7" ht="15.75" x14ac:dyDescent="0.25">
      <c r="A345" s="59" t="s">
        <v>39</v>
      </c>
      <c r="B345" s="60">
        <v>30</v>
      </c>
      <c r="C345" s="31">
        <v>4.2300000000000004</v>
      </c>
      <c r="D345" s="31">
        <v>0.9</v>
      </c>
      <c r="E345" s="31">
        <v>13.05</v>
      </c>
      <c r="F345" s="31">
        <v>77.400000000000006</v>
      </c>
      <c r="G345" s="40"/>
    </row>
    <row r="346" spans="1:7" ht="15.75" x14ac:dyDescent="0.25">
      <c r="A346" s="59" t="s">
        <v>218</v>
      </c>
      <c r="B346" s="60">
        <v>20</v>
      </c>
      <c r="C346" s="31">
        <v>0.22</v>
      </c>
      <c r="D346" s="31">
        <v>4</v>
      </c>
      <c r="E346" s="31">
        <v>0</v>
      </c>
      <c r="F346" s="31">
        <v>38</v>
      </c>
      <c r="G346" s="40"/>
    </row>
    <row r="347" spans="1:7" ht="15.75" x14ac:dyDescent="0.25">
      <c r="A347" s="59" t="s">
        <v>219</v>
      </c>
      <c r="B347" s="60">
        <v>10</v>
      </c>
      <c r="C347" s="31">
        <v>0.7</v>
      </c>
      <c r="D347" s="31">
        <v>0.6</v>
      </c>
      <c r="E347" s="31">
        <v>4</v>
      </c>
      <c r="F347" s="31">
        <v>23.8</v>
      </c>
      <c r="G347" s="40"/>
    </row>
    <row r="348" spans="1:7" ht="31.5" x14ac:dyDescent="0.25">
      <c r="A348" s="70" t="s">
        <v>209</v>
      </c>
      <c r="B348" s="182"/>
      <c r="C348" s="183"/>
      <c r="D348" s="183"/>
      <c r="E348" s="183"/>
      <c r="F348" s="183"/>
      <c r="G348" s="184"/>
    </row>
    <row r="349" spans="1:7" ht="15.75" x14ac:dyDescent="0.25">
      <c r="A349" s="44" t="s">
        <v>220</v>
      </c>
      <c r="B349" s="45">
        <v>215</v>
      </c>
      <c r="C349" s="46">
        <f>SUM(C350:C355)</f>
        <v>32.9</v>
      </c>
      <c r="D349" s="46">
        <f>SUM(D350:D355)</f>
        <v>45.64</v>
      </c>
      <c r="E349" s="46">
        <f>SUM(E350:E355)</f>
        <v>3.03</v>
      </c>
      <c r="F349" s="46">
        <f>SUM(F350:F355)</f>
        <v>655.7</v>
      </c>
      <c r="G349" s="15">
        <f>F349/B349*100</f>
        <v>304.97674418604652</v>
      </c>
    </row>
    <row r="350" spans="1:7" ht="15.75" x14ac:dyDescent="0.25">
      <c r="A350" s="59" t="s">
        <v>221</v>
      </c>
      <c r="B350" s="60">
        <v>50</v>
      </c>
      <c r="C350" s="31">
        <v>7.1</v>
      </c>
      <c r="D350" s="31">
        <v>8.9</v>
      </c>
      <c r="E350" s="31">
        <v>1.25</v>
      </c>
      <c r="F350" s="31">
        <v>203.6</v>
      </c>
      <c r="G350" s="47"/>
    </row>
    <row r="351" spans="1:7" ht="15.75" x14ac:dyDescent="0.25">
      <c r="A351" s="59" t="s">
        <v>222</v>
      </c>
      <c r="B351" s="60">
        <v>50</v>
      </c>
      <c r="C351" s="31">
        <v>10</v>
      </c>
      <c r="D351" s="31">
        <v>22</v>
      </c>
      <c r="E351" s="31">
        <v>0</v>
      </c>
      <c r="F351" s="31">
        <v>248</v>
      </c>
      <c r="G351" s="39"/>
    </row>
    <row r="352" spans="1:7" ht="15.75" x14ac:dyDescent="0.25">
      <c r="A352" s="59" t="s">
        <v>76</v>
      </c>
      <c r="B352" s="60">
        <v>50</v>
      </c>
      <c r="C352" s="31">
        <v>8.5</v>
      </c>
      <c r="D352" s="31">
        <v>3.5</v>
      </c>
      <c r="E352" s="31">
        <v>0.4</v>
      </c>
      <c r="F352" s="31">
        <v>67.5</v>
      </c>
      <c r="G352" s="39"/>
    </row>
    <row r="353" spans="1:7" ht="15.75" x14ac:dyDescent="0.25">
      <c r="A353" s="59" t="s">
        <v>50</v>
      </c>
      <c r="B353" s="60">
        <v>35</v>
      </c>
      <c r="C353" s="31">
        <v>7</v>
      </c>
      <c r="D353" s="31">
        <v>11.2</v>
      </c>
      <c r="E353" s="31">
        <v>0</v>
      </c>
      <c r="F353" s="31">
        <v>129.5</v>
      </c>
      <c r="G353" s="39"/>
    </row>
    <row r="354" spans="1:7" ht="15.75" x14ac:dyDescent="0.25">
      <c r="A354" s="59" t="s">
        <v>67</v>
      </c>
      <c r="B354" s="60">
        <v>20</v>
      </c>
      <c r="C354" s="31">
        <v>0.16</v>
      </c>
      <c r="D354" s="31">
        <v>0.02</v>
      </c>
      <c r="E354" s="31">
        <v>0.56000000000000005</v>
      </c>
      <c r="F354" s="31">
        <v>3</v>
      </c>
      <c r="G354" s="39"/>
    </row>
    <row r="355" spans="1:7" ht="15.75" x14ac:dyDescent="0.25">
      <c r="A355" s="59" t="s">
        <v>114</v>
      </c>
      <c r="B355" s="60">
        <v>10</v>
      </c>
      <c r="C355" s="31">
        <v>0.14000000000000001</v>
      </c>
      <c r="D355" s="31">
        <v>0.02</v>
      </c>
      <c r="E355" s="31">
        <v>0.82</v>
      </c>
      <c r="F355" s="31">
        <v>4.0999999999999996</v>
      </c>
      <c r="G355" s="39"/>
    </row>
    <row r="356" spans="1:7" ht="15.75" x14ac:dyDescent="0.25">
      <c r="A356" s="44" t="s">
        <v>550</v>
      </c>
      <c r="B356" s="45">
        <v>755</v>
      </c>
      <c r="C356" s="46">
        <f>SUM(C357:C365)</f>
        <v>12.5395</v>
      </c>
      <c r="D356" s="46">
        <f>SUM(D357:D365)</f>
        <v>38.149799999999999</v>
      </c>
      <c r="E356" s="46">
        <f>SUM(E357:E365)</f>
        <v>32.670299999999997</v>
      </c>
      <c r="F356" s="46">
        <f>SUM(F357:F365)</f>
        <v>533.17560000000003</v>
      </c>
      <c r="G356" s="15">
        <f>F356/B356*100</f>
        <v>70.619284768211926</v>
      </c>
    </row>
    <row r="357" spans="1:7" ht="15.75" x14ac:dyDescent="0.25">
      <c r="A357" s="59" t="s">
        <v>168</v>
      </c>
      <c r="B357" s="60">
        <v>150</v>
      </c>
      <c r="C357" s="31">
        <v>1.2</v>
      </c>
      <c r="D357" s="31">
        <v>0.15</v>
      </c>
      <c r="E357" s="31">
        <v>4.2</v>
      </c>
      <c r="F357" s="31">
        <v>22.5</v>
      </c>
      <c r="G357" s="47"/>
    </row>
    <row r="358" spans="1:7" ht="15.75" x14ac:dyDescent="0.25">
      <c r="A358" s="59" t="s">
        <v>121</v>
      </c>
      <c r="B358" s="60">
        <v>150</v>
      </c>
      <c r="C358" s="31">
        <v>1.35</v>
      </c>
      <c r="D358" s="31">
        <v>0.3</v>
      </c>
      <c r="E358" s="31">
        <v>10.199999999999999</v>
      </c>
      <c r="F358" s="31">
        <v>61.5</v>
      </c>
      <c r="G358" s="39"/>
    </row>
    <row r="359" spans="1:7" ht="15.75" x14ac:dyDescent="0.25">
      <c r="A359" s="59" t="s">
        <v>169</v>
      </c>
      <c r="B359" s="60">
        <v>120</v>
      </c>
      <c r="C359" s="31">
        <v>1.56</v>
      </c>
      <c r="D359" s="31">
        <v>0.12</v>
      </c>
      <c r="E359" s="31">
        <v>6.36</v>
      </c>
      <c r="F359" s="31">
        <v>31.2</v>
      </c>
      <c r="G359" s="39"/>
    </row>
    <row r="360" spans="1:7" ht="15.75" x14ac:dyDescent="0.25">
      <c r="A360" s="59" t="s">
        <v>170</v>
      </c>
      <c r="B360" s="60">
        <v>120</v>
      </c>
      <c r="C360" s="31">
        <v>1.56</v>
      </c>
      <c r="D360" s="31">
        <v>0.12</v>
      </c>
      <c r="E360" s="31">
        <v>6.36</v>
      </c>
      <c r="F360" s="31">
        <v>31.2</v>
      </c>
      <c r="G360" s="39"/>
    </row>
    <row r="361" spans="1:7" ht="15.75" x14ac:dyDescent="0.25">
      <c r="A361" s="59" t="s">
        <v>223</v>
      </c>
      <c r="B361" s="60">
        <v>100</v>
      </c>
      <c r="C361" s="31">
        <v>0.9</v>
      </c>
      <c r="D361" s="31">
        <v>0.1</v>
      </c>
      <c r="E361" s="31">
        <v>2.1</v>
      </c>
      <c r="F361" s="31">
        <v>13</v>
      </c>
      <c r="G361" s="39"/>
    </row>
    <row r="362" spans="1:7" ht="15.75" x14ac:dyDescent="0.25">
      <c r="A362" s="59" t="s">
        <v>162</v>
      </c>
      <c r="B362" s="60">
        <v>5</v>
      </c>
      <c r="C362" s="31">
        <v>0.13</v>
      </c>
      <c r="D362" s="31">
        <v>3.5000000000000003E-2</v>
      </c>
      <c r="E362" s="31">
        <v>0.105</v>
      </c>
      <c r="F362" s="31">
        <v>1.25</v>
      </c>
      <c r="G362" s="39"/>
    </row>
    <row r="363" spans="1:7" ht="15.75" x14ac:dyDescent="0.25">
      <c r="A363" s="59" t="s">
        <v>67</v>
      </c>
      <c r="B363" s="60">
        <v>40</v>
      </c>
      <c r="C363" s="31">
        <v>0.32</v>
      </c>
      <c r="D363" s="31">
        <v>0.04</v>
      </c>
      <c r="E363" s="31">
        <v>1.1200000000000001</v>
      </c>
      <c r="F363" s="31">
        <v>6</v>
      </c>
      <c r="G363" s="39"/>
    </row>
    <row r="364" spans="1:7" ht="15.75" x14ac:dyDescent="0.25">
      <c r="A364" s="59" t="s">
        <v>224</v>
      </c>
      <c r="B364" s="60">
        <v>70</v>
      </c>
      <c r="C364" s="31">
        <v>5.5194999999999999</v>
      </c>
      <c r="D364" s="31">
        <v>37.284799999999997</v>
      </c>
      <c r="E364" s="31">
        <v>2.2252999999999998</v>
      </c>
      <c r="F364" s="31">
        <v>366.5256</v>
      </c>
      <c r="G364" s="39"/>
    </row>
    <row r="365" spans="1:7" ht="15.75" x14ac:dyDescent="0.25">
      <c r="A365" s="59" t="s">
        <v>225</v>
      </c>
      <c r="B365" s="197"/>
      <c r="C365" s="198"/>
      <c r="D365" s="198"/>
      <c r="E365" s="198"/>
      <c r="F365" s="198"/>
      <c r="G365" s="199"/>
    </row>
    <row r="366" spans="1:7" ht="15.75" x14ac:dyDescent="0.25">
      <c r="A366" s="44" t="s">
        <v>226</v>
      </c>
      <c r="B366" s="45">
        <v>120</v>
      </c>
      <c r="C366" s="46">
        <f>SUM(C367:C373)</f>
        <v>1.1275600000000001</v>
      </c>
      <c r="D366" s="46">
        <f>SUM(D367:D373)</f>
        <v>38.3416</v>
      </c>
      <c r="E366" s="46">
        <f>SUM(E367:E373)</f>
        <v>9.8280000000000006E-2</v>
      </c>
      <c r="F366" s="46">
        <f>SUM(F367:F373)</f>
        <v>370.47199999999998</v>
      </c>
      <c r="G366" s="15">
        <f>F366/B366*100</f>
        <v>308.72666666666663</v>
      </c>
    </row>
    <row r="367" spans="1:7" ht="15.75" x14ac:dyDescent="0.25">
      <c r="A367" s="59" t="s">
        <v>218</v>
      </c>
      <c r="B367" s="60">
        <v>100</v>
      </c>
      <c r="C367" s="31">
        <v>1.1000000000000001</v>
      </c>
      <c r="D367" s="31">
        <v>20</v>
      </c>
      <c r="E367" s="31">
        <v>0</v>
      </c>
      <c r="F367" s="31">
        <v>190</v>
      </c>
      <c r="G367" s="47"/>
    </row>
    <row r="368" spans="1:7" ht="15.75" x14ac:dyDescent="0.25">
      <c r="A368" s="59" t="s">
        <v>227</v>
      </c>
      <c r="B368" s="60">
        <v>0.2</v>
      </c>
      <c r="C368" s="31">
        <v>1.12E-2</v>
      </c>
      <c r="D368" s="31">
        <v>3.3999999999999998E-3</v>
      </c>
      <c r="E368" s="31">
        <v>2.8000000000000001E-2</v>
      </c>
      <c r="F368" s="31">
        <v>0.20200000000000001</v>
      </c>
      <c r="G368" s="39"/>
    </row>
    <row r="369" spans="1:7" ht="15.75" x14ac:dyDescent="0.25">
      <c r="A369" s="59" t="s">
        <v>228</v>
      </c>
      <c r="B369" s="60">
        <v>0.2</v>
      </c>
      <c r="C369" s="31">
        <v>6.6E-3</v>
      </c>
      <c r="D369" s="31">
        <v>1.18E-2</v>
      </c>
      <c r="E369" s="31">
        <v>1.32E-2</v>
      </c>
      <c r="F369" s="31">
        <v>0.26200000000000001</v>
      </c>
      <c r="G369" s="39"/>
    </row>
    <row r="370" spans="1:7" ht="15.75" x14ac:dyDescent="0.25">
      <c r="A370" s="59" t="s">
        <v>229</v>
      </c>
      <c r="B370" s="60">
        <v>0.4</v>
      </c>
      <c r="C370" s="31">
        <v>9.5999999999999992E-3</v>
      </c>
      <c r="D370" s="31">
        <v>6.4000000000000003E-3</v>
      </c>
      <c r="E370" s="31">
        <v>5.6000000000000001E-2</v>
      </c>
      <c r="F370" s="31">
        <v>0.33200000000000002</v>
      </c>
      <c r="G370" s="39"/>
    </row>
    <row r="371" spans="1:7" ht="15.75" x14ac:dyDescent="0.25">
      <c r="A371" s="59" t="s">
        <v>230</v>
      </c>
      <c r="B371" s="60">
        <v>0.4</v>
      </c>
      <c r="C371" s="31">
        <v>1.6000000000000001E-4</v>
      </c>
      <c r="D371" s="31">
        <v>0</v>
      </c>
      <c r="E371" s="31">
        <v>1.08E-3</v>
      </c>
      <c r="F371" s="31">
        <v>7.5999999999999998E-2</v>
      </c>
      <c r="G371" s="39"/>
    </row>
    <row r="372" spans="1:7" ht="15.75" x14ac:dyDescent="0.25">
      <c r="A372" s="59" t="s">
        <v>173</v>
      </c>
      <c r="B372" s="60">
        <v>20</v>
      </c>
      <c r="C372" s="31">
        <v>0</v>
      </c>
      <c r="D372" s="31">
        <v>18.32</v>
      </c>
      <c r="E372" s="31">
        <v>0</v>
      </c>
      <c r="F372" s="31">
        <v>179.6</v>
      </c>
      <c r="G372" s="39"/>
    </row>
    <row r="373" spans="1:7" ht="15.75" x14ac:dyDescent="0.25">
      <c r="A373" s="59" t="s">
        <v>18</v>
      </c>
      <c r="B373" s="60">
        <v>1</v>
      </c>
      <c r="C373" s="31">
        <v>0</v>
      </c>
      <c r="D373" s="31">
        <v>0</v>
      </c>
      <c r="E373" s="31">
        <v>0</v>
      </c>
      <c r="F373" s="31">
        <v>0</v>
      </c>
      <c r="G373" s="39"/>
    </row>
    <row r="374" spans="1:7" ht="15.75" x14ac:dyDescent="0.25">
      <c r="A374" s="44" t="s">
        <v>231</v>
      </c>
      <c r="B374" s="45">
        <v>326</v>
      </c>
      <c r="C374" s="46">
        <f>SUM(C375:C384)</f>
        <v>55.367999999999995</v>
      </c>
      <c r="D374" s="46">
        <f>SUM(D375:D384)</f>
        <v>71.228999999999999</v>
      </c>
      <c r="E374" s="46">
        <f>SUM(E375:E384)</f>
        <v>61.834000000000003</v>
      </c>
      <c r="F374" s="46">
        <f>SUM(F375:F384)</f>
        <v>1102.05</v>
      </c>
      <c r="G374" s="15">
        <f>F374/B374*100</f>
        <v>338.05214723926377</v>
      </c>
    </row>
    <row r="375" spans="1:7" ht="15.75" x14ac:dyDescent="0.25">
      <c r="A375" s="59" t="s">
        <v>232</v>
      </c>
      <c r="B375" s="60">
        <v>50</v>
      </c>
      <c r="C375" s="31">
        <v>9.65</v>
      </c>
      <c r="D375" s="31">
        <v>15.7</v>
      </c>
      <c r="E375" s="31">
        <v>1</v>
      </c>
      <c r="F375" s="31">
        <v>183.9</v>
      </c>
      <c r="G375" s="47"/>
    </row>
    <row r="376" spans="1:7" ht="15.75" x14ac:dyDescent="0.25">
      <c r="A376" s="59" t="s">
        <v>233</v>
      </c>
      <c r="B376" s="60">
        <v>50</v>
      </c>
      <c r="C376" s="31">
        <v>13</v>
      </c>
      <c r="D376" s="31">
        <v>16.5</v>
      </c>
      <c r="E376" s="31">
        <v>0</v>
      </c>
      <c r="F376" s="31">
        <v>200</v>
      </c>
      <c r="G376" s="39"/>
    </row>
    <row r="377" spans="1:7" ht="15.75" x14ac:dyDescent="0.25">
      <c r="A377" s="59" t="s">
        <v>64</v>
      </c>
      <c r="B377" s="60">
        <v>50</v>
      </c>
      <c r="C377" s="31">
        <v>16.5</v>
      </c>
      <c r="D377" s="31">
        <v>12.8</v>
      </c>
      <c r="E377" s="31">
        <v>1.6</v>
      </c>
      <c r="F377" s="31">
        <v>181</v>
      </c>
      <c r="G377" s="39"/>
    </row>
    <row r="378" spans="1:7" ht="15.75" x14ac:dyDescent="0.25">
      <c r="A378" s="59" t="s">
        <v>234</v>
      </c>
      <c r="B378" s="60">
        <v>50</v>
      </c>
      <c r="C378" s="31">
        <v>10.5</v>
      </c>
      <c r="D378" s="31">
        <v>11.5</v>
      </c>
      <c r="E378" s="31">
        <v>0</v>
      </c>
      <c r="F378" s="31">
        <v>145.5</v>
      </c>
      <c r="G378" s="39"/>
    </row>
    <row r="379" spans="1:7" ht="15.75" x14ac:dyDescent="0.25">
      <c r="A379" s="59" t="s">
        <v>235</v>
      </c>
      <c r="B379" s="60">
        <v>10</v>
      </c>
      <c r="C379" s="31">
        <v>0.7</v>
      </c>
      <c r="D379" s="31">
        <v>0.6</v>
      </c>
      <c r="E379" s="31">
        <v>4</v>
      </c>
      <c r="F379" s="31">
        <v>23.8</v>
      </c>
      <c r="G379" s="39"/>
    </row>
    <row r="380" spans="1:7" ht="15.75" x14ac:dyDescent="0.25">
      <c r="A380" s="59" t="s">
        <v>236</v>
      </c>
      <c r="B380" s="60">
        <v>30</v>
      </c>
      <c r="C380" s="31">
        <v>2.1</v>
      </c>
      <c r="D380" s="31">
        <v>1.8</v>
      </c>
      <c r="E380" s="31">
        <v>12</v>
      </c>
      <c r="F380" s="31">
        <v>71.400000000000006</v>
      </c>
      <c r="G380" s="39"/>
    </row>
    <row r="381" spans="1:7" ht="15.75" x14ac:dyDescent="0.25">
      <c r="A381" s="59" t="s">
        <v>237</v>
      </c>
      <c r="B381" s="60">
        <v>15</v>
      </c>
      <c r="C381" s="31">
        <v>0.12</v>
      </c>
      <c r="D381" s="31">
        <v>0.06</v>
      </c>
      <c r="E381" s="31">
        <v>1.125</v>
      </c>
      <c r="F381" s="31">
        <v>6.15</v>
      </c>
      <c r="G381" s="39"/>
    </row>
    <row r="382" spans="1:7" ht="15.75" x14ac:dyDescent="0.25">
      <c r="A382" s="59" t="s">
        <v>238</v>
      </c>
      <c r="B382" s="60">
        <v>20</v>
      </c>
      <c r="C382" s="31">
        <v>2.76</v>
      </c>
      <c r="D382" s="31">
        <v>12.26</v>
      </c>
      <c r="E382" s="31">
        <v>2.04</v>
      </c>
      <c r="F382" s="31">
        <v>129.6</v>
      </c>
      <c r="G382" s="39"/>
    </row>
    <row r="383" spans="1:7" ht="15.75" x14ac:dyDescent="0.25">
      <c r="A383" s="59" t="s">
        <v>239</v>
      </c>
      <c r="B383" s="60">
        <v>1</v>
      </c>
      <c r="C383" s="31">
        <v>3.7999999999999999E-2</v>
      </c>
      <c r="D383" s="31">
        <v>8.9999999999999993E-3</v>
      </c>
      <c r="E383" s="31">
        <v>6.9000000000000006E-2</v>
      </c>
      <c r="F383" s="31">
        <v>0.7</v>
      </c>
      <c r="G383" s="39"/>
    </row>
    <row r="384" spans="1:7" ht="15.75" x14ac:dyDescent="0.25">
      <c r="A384" s="79" t="s">
        <v>240</v>
      </c>
      <c r="B384" s="78">
        <v>50</v>
      </c>
      <c r="C384" s="71">
        <v>0</v>
      </c>
      <c r="D384" s="71">
        <v>0</v>
      </c>
      <c r="E384" s="71">
        <v>40</v>
      </c>
      <c r="F384" s="71">
        <v>160</v>
      </c>
      <c r="G384" s="40"/>
    </row>
    <row r="385" spans="1:7" ht="15.75" x14ac:dyDescent="0.25">
      <c r="A385" s="80" t="s">
        <v>241</v>
      </c>
      <c r="B385" s="81">
        <v>100</v>
      </c>
      <c r="C385" s="15">
        <v>1.5</v>
      </c>
      <c r="D385" s="15">
        <v>25.2</v>
      </c>
      <c r="E385" s="15">
        <v>2.7</v>
      </c>
      <c r="F385" s="15">
        <v>249</v>
      </c>
      <c r="G385" s="82">
        <v>249</v>
      </c>
    </row>
    <row r="386" spans="1:7" ht="21" x14ac:dyDescent="0.25">
      <c r="A386" s="200" t="s">
        <v>242</v>
      </c>
      <c r="B386" s="201"/>
      <c r="C386" s="201"/>
      <c r="D386" s="201"/>
      <c r="E386" s="201"/>
      <c r="F386" s="201"/>
      <c r="G386" s="202"/>
    </row>
    <row r="387" spans="1:7" ht="15.75" x14ac:dyDescent="0.25">
      <c r="A387" s="3" t="s">
        <v>243</v>
      </c>
      <c r="B387" s="4">
        <v>244</v>
      </c>
      <c r="C387" s="5">
        <f>SUM(C388:C395)</f>
        <v>26.846209999999999</v>
      </c>
      <c r="D387" s="5">
        <f>SUM(D388:D395)</f>
        <v>31.786860000000001</v>
      </c>
      <c r="E387" s="5">
        <f>SUM(E388:E395)</f>
        <v>40.173290000000001</v>
      </c>
      <c r="F387" s="5">
        <f>SUM(F388:F395)</f>
        <v>558.71600000000001</v>
      </c>
      <c r="G387" s="6">
        <f>F387/B387*100</f>
        <v>228.98196721311476</v>
      </c>
    </row>
    <row r="388" spans="1:7" ht="15.75" x14ac:dyDescent="0.25">
      <c r="A388" s="59" t="s">
        <v>244</v>
      </c>
      <c r="B388" s="60">
        <v>90</v>
      </c>
      <c r="C388" s="9">
        <v>20.16</v>
      </c>
      <c r="D388" s="9">
        <v>0.63</v>
      </c>
      <c r="E388" s="9">
        <v>0</v>
      </c>
      <c r="F388" s="10">
        <v>93.45</v>
      </c>
      <c r="G388" s="9"/>
    </row>
    <row r="389" spans="1:7" ht="15.75" x14ac:dyDescent="0.25">
      <c r="A389" s="59" t="s">
        <v>30</v>
      </c>
      <c r="B389" s="60">
        <v>15</v>
      </c>
      <c r="C389" s="9">
        <v>3.9E-2</v>
      </c>
      <c r="D389" s="10">
        <v>7.4999999999999997E-3</v>
      </c>
      <c r="E389" s="9">
        <v>13.6905</v>
      </c>
      <c r="F389" s="9">
        <v>57.15</v>
      </c>
      <c r="G389" s="9"/>
    </row>
    <row r="390" spans="1:7" ht="15.75" x14ac:dyDescent="0.25">
      <c r="A390" s="59" t="s">
        <v>245</v>
      </c>
      <c r="B390" s="60">
        <v>50</v>
      </c>
      <c r="C390" s="10">
        <v>1.0249999999999999</v>
      </c>
      <c r="D390" s="10">
        <v>9.5000000000000001E-2</v>
      </c>
      <c r="E390" s="10">
        <v>15.86</v>
      </c>
      <c r="F390" s="10">
        <v>69.215000000000003</v>
      </c>
      <c r="G390" s="9"/>
    </row>
    <row r="391" spans="1:7" ht="15.75" x14ac:dyDescent="0.25">
      <c r="A391" s="59" t="s">
        <v>23</v>
      </c>
      <c r="B391" s="60">
        <v>7</v>
      </c>
      <c r="C391" s="10">
        <v>0</v>
      </c>
      <c r="D391" s="10">
        <v>6.9930000000000003</v>
      </c>
      <c r="E391" s="10">
        <v>0</v>
      </c>
      <c r="F391" s="10">
        <v>62.93</v>
      </c>
      <c r="G391" s="9"/>
    </row>
    <row r="392" spans="1:7" ht="15.75" x14ac:dyDescent="0.25">
      <c r="A392" s="59" t="s">
        <v>127</v>
      </c>
      <c r="B392" s="60">
        <v>3</v>
      </c>
      <c r="C392" s="9">
        <v>0.75</v>
      </c>
      <c r="D392" s="9">
        <v>1.68</v>
      </c>
      <c r="E392" s="10">
        <v>0.126</v>
      </c>
      <c r="F392" s="9">
        <v>19.11</v>
      </c>
      <c r="G392" s="9"/>
    </row>
    <row r="393" spans="1:7" ht="15.75" x14ac:dyDescent="0.25">
      <c r="A393" s="59" t="s">
        <v>136</v>
      </c>
      <c r="B393" s="60">
        <v>30</v>
      </c>
      <c r="C393" s="9">
        <v>3.9</v>
      </c>
      <c r="D393" s="9">
        <v>0.93</v>
      </c>
      <c r="E393" s="10">
        <v>3</v>
      </c>
      <c r="F393" s="9">
        <v>27.63</v>
      </c>
      <c r="G393" s="9"/>
    </row>
    <row r="394" spans="1:7" ht="15.75" x14ac:dyDescent="0.25">
      <c r="A394" s="59" t="s">
        <v>246</v>
      </c>
      <c r="B394" s="60">
        <v>50</v>
      </c>
      <c r="C394" s="83">
        <v>0.93920999999999999</v>
      </c>
      <c r="D394" s="83">
        <v>21.44436</v>
      </c>
      <c r="E394" s="83">
        <v>7.4777899999999997</v>
      </c>
      <c r="F394" s="83">
        <v>228.93100000000001</v>
      </c>
      <c r="G394" s="9"/>
    </row>
    <row r="395" spans="1:7" ht="15.75" x14ac:dyDescent="0.25">
      <c r="A395" s="59" t="s">
        <v>115</v>
      </c>
      <c r="B395" s="60">
        <v>1</v>
      </c>
      <c r="C395" s="9">
        <v>3.3000000000000002E-2</v>
      </c>
      <c r="D395" s="9">
        <v>7.0000000000000001E-3</v>
      </c>
      <c r="E395" s="10">
        <v>1.9E-2</v>
      </c>
      <c r="F395" s="9">
        <v>0.3</v>
      </c>
      <c r="G395" s="9"/>
    </row>
    <row r="396" spans="1:7" ht="31.5" x14ac:dyDescent="0.25">
      <c r="A396" s="70" t="s">
        <v>247</v>
      </c>
      <c r="B396" s="60"/>
      <c r="C396" s="10"/>
      <c r="D396" s="10"/>
      <c r="E396" s="10"/>
      <c r="F396" s="10"/>
      <c r="G396" s="9"/>
    </row>
    <row r="397" spans="1:7" ht="15.75" x14ac:dyDescent="0.25">
      <c r="A397" s="3" t="s">
        <v>248</v>
      </c>
      <c r="B397" s="4">
        <v>262</v>
      </c>
      <c r="C397" s="5">
        <f>SUM(C398:C405)</f>
        <v>37.847200000000001</v>
      </c>
      <c r="D397" s="5">
        <f>SUM(D398:D405)</f>
        <v>23.737000000000002</v>
      </c>
      <c r="E397" s="5">
        <f>SUM(E398:E405)</f>
        <v>41.373750000000008</v>
      </c>
      <c r="F397" s="5">
        <f>SUM(F398:F405)</f>
        <v>534.86</v>
      </c>
      <c r="G397" s="15">
        <f>F397/B397*100</f>
        <v>204.14503816793891</v>
      </c>
    </row>
    <row r="398" spans="1:7" ht="15.75" x14ac:dyDescent="0.25">
      <c r="A398" s="59" t="s">
        <v>249</v>
      </c>
      <c r="B398" s="60">
        <v>150</v>
      </c>
      <c r="C398" s="17">
        <v>35.4</v>
      </c>
      <c r="D398" s="17">
        <v>2.85</v>
      </c>
      <c r="E398" s="17">
        <v>0.6</v>
      </c>
      <c r="F398" s="17">
        <v>169.5</v>
      </c>
      <c r="G398" s="18"/>
    </row>
    <row r="399" spans="1:7" ht="15.75" x14ac:dyDescent="0.25">
      <c r="A399" s="59" t="s">
        <v>245</v>
      </c>
      <c r="B399" s="60">
        <v>50</v>
      </c>
      <c r="C399" s="10">
        <v>1.0249999999999999</v>
      </c>
      <c r="D399" s="10">
        <v>9.5000000000000001E-2</v>
      </c>
      <c r="E399" s="10">
        <v>15.86</v>
      </c>
      <c r="F399" s="10">
        <v>69.215000000000003</v>
      </c>
      <c r="G399" s="20"/>
    </row>
    <row r="400" spans="1:7" ht="15.75" x14ac:dyDescent="0.25">
      <c r="A400" s="59" t="s">
        <v>23</v>
      </c>
      <c r="B400" s="60">
        <v>7</v>
      </c>
      <c r="C400" s="10">
        <v>0</v>
      </c>
      <c r="D400" s="10">
        <v>6.9930000000000003</v>
      </c>
      <c r="E400" s="10">
        <v>0</v>
      </c>
      <c r="F400" s="10">
        <v>62.93</v>
      </c>
      <c r="G400" s="20"/>
    </row>
    <row r="401" spans="1:7" ht="15.75" x14ac:dyDescent="0.25">
      <c r="A401" s="59" t="s">
        <v>30</v>
      </c>
      <c r="B401" s="60">
        <v>15</v>
      </c>
      <c r="C401" s="10">
        <v>3.9E-2</v>
      </c>
      <c r="D401" s="10">
        <v>7.4999999999999997E-3</v>
      </c>
      <c r="E401" s="10">
        <v>13.6905</v>
      </c>
      <c r="F401" s="10">
        <v>57.15</v>
      </c>
      <c r="G401" s="20"/>
    </row>
    <row r="402" spans="1:7" ht="15.75" x14ac:dyDescent="0.25">
      <c r="A402" s="59" t="s">
        <v>250</v>
      </c>
      <c r="B402" s="60">
        <v>1</v>
      </c>
      <c r="C402" s="10">
        <v>1.4E-2</v>
      </c>
      <c r="D402" s="10">
        <v>2E-3</v>
      </c>
      <c r="E402" s="10">
        <v>8.2000000000000003E-2</v>
      </c>
      <c r="F402" s="10">
        <v>0.41</v>
      </c>
      <c r="G402" s="20"/>
    </row>
    <row r="403" spans="1:7" ht="15.75" x14ac:dyDescent="0.25">
      <c r="A403" s="59" t="s">
        <v>251</v>
      </c>
      <c r="B403" s="60">
        <v>1</v>
      </c>
      <c r="C403" s="10">
        <v>0.25119999999999998</v>
      </c>
      <c r="D403" s="10">
        <v>0.55700000000000005</v>
      </c>
      <c r="E403" s="10">
        <v>0.123</v>
      </c>
      <c r="F403" s="10">
        <v>6.4924999999999997</v>
      </c>
      <c r="G403" s="20"/>
    </row>
    <row r="404" spans="1:7" ht="15.75" x14ac:dyDescent="0.25">
      <c r="A404" s="59" t="s">
        <v>252</v>
      </c>
      <c r="B404" s="60">
        <v>25</v>
      </c>
      <c r="C404" s="10">
        <v>0.25</v>
      </c>
      <c r="D404" s="10">
        <v>0</v>
      </c>
      <c r="E404" s="10">
        <v>9.5</v>
      </c>
      <c r="F404" s="10">
        <v>40</v>
      </c>
      <c r="G404" s="20"/>
    </row>
    <row r="405" spans="1:7" ht="15.75" x14ac:dyDescent="0.25">
      <c r="A405" s="59" t="s">
        <v>253</v>
      </c>
      <c r="B405" s="60">
        <v>25</v>
      </c>
      <c r="C405" s="12">
        <v>0.86799999999999999</v>
      </c>
      <c r="D405" s="12">
        <v>13.2325</v>
      </c>
      <c r="E405" s="12">
        <v>1.5182500000000001</v>
      </c>
      <c r="F405" s="12">
        <v>129.16249999999999</v>
      </c>
      <c r="G405" s="22"/>
    </row>
    <row r="406" spans="1:7" ht="15.75" x14ac:dyDescent="0.25">
      <c r="A406" s="59" t="s">
        <v>254</v>
      </c>
      <c r="B406" s="182"/>
      <c r="C406" s="183"/>
      <c r="D406" s="183"/>
      <c r="E406" s="183"/>
      <c r="F406" s="183"/>
      <c r="G406" s="184"/>
    </row>
    <row r="407" spans="1:7" ht="15.75" x14ac:dyDescent="0.25">
      <c r="A407" s="67" t="s">
        <v>255</v>
      </c>
      <c r="B407" s="68">
        <v>211</v>
      </c>
      <c r="C407" s="69">
        <f>SUM(C408:C411)</f>
        <v>22.298750000000002</v>
      </c>
      <c r="D407" s="69">
        <f>SUM(D408:D411)</f>
        <v>32.691749999999999</v>
      </c>
      <c r="E407" s="69">
        <f>SUM(E408:E411)</f>
        <v>106.3595</v>
      </c>
      <c r="F407" s="69">
        <f>SUM(F408:F411)</f>
        <v>814.47749999999996</v>
      </c>
      <c r="G407" s="69">
        <f>F407/B407*100</f>
        <v>386.00829383886253</v>
      </c>
    </row>
    <row r="408" spans="1:7" ht="15.75" x14ac:dyDescent="0.25">
      <c r="A408" s="59" t="s">
        <v>256</v>
      </c>
      <c r="B408" s="60">
        <v>170</v>
      </c>
      <c r="C408" s="28">
        <v>22.1</v>
      </c>
      <c r="D408" s="28">
        <v>25.5</v>
      </c>
      <c r="E408" s="28">
        <v>68</v>
      </c>
      <c r="F408" s="28">
        <v>595</v>
      </c>
      <c r="G408" s="29"/>
    </row>
    <row r="409" spans="1:7" ht="15.75" x14ac:dyDescent="0.25">
      <c r="A409" s="59" t="s">
        <v>257</v>
      </c>
      <c r="B409" s="60">
        <v>75</v>
      </c>
      <c r="C409" s="31">
        <v>0.19875000000000001</v>
      </c>
      <c r="D409" s="31">
        <v>0.19875000000000001</v>
      </c>
      <c r="E409" s="31">
        <v>38.359499999999997</v>
      </c>
      <c r="F409" s="31">
        <v>156.54750000000001</v>
      </c>
      <c r="G409" s="32"/>
    </row>
    <row r="410" spans="1:7" ht="15.75" x14ac:dyDescent="0.25">
      <c r="A410" s="59" t="s">
        <v>23</v>
      </c>
      <c r="B410" s="78">
        <v>7</v>
      </c>
      <c r="C410" s="71">
        <v>0</v>
      </c>
      <c r="D410" s="71">
        <v>6.9930000000000003</v>
      </c>
      <c r="E410" s="71">
        <v>0</v>
      </c>
      <c r="F410" s="71">
        <v>62.93</v>
      </c>
      <c r="G410" s="35"/>
    </row>
    <row r="411" spans="1:7" ht="15.75" x14ac:dyDescent="0.25">
      <c r="A411" s="89" t="s">
        <v>258</v>
      </c>
      <c r="B411" s="182"/>
      <c r="C411" s="183"/>
      <c r="D411" s="183"/>
      <c r="E411" s="183"/>
      <c r="F411" s="183"/>
      <c r="G411" s="184"/>
    </row>
    <row r="412" spans="1:7" ht="21" x14ac:dyDescent="0.25">
      <c r="A412" s="174" t="s">
        <v>261</v>
      </c>
      <c r="B412" s="175"/>
      <c r="C412" s="175"/>
      <c r="D412" s="175"/>
      <c r="E412" s="175"/>
      <c r="F412" s="175"/>
      <c r="G412" s="176"/>
    </row>
    <row r="413" spans="1:7" ht="15.75" x14ac:dyDescent="0.25">
      <c r="A413" s="3" t="s">
        <v>262</v>
      </c>
      <c r="B413" s="4">
        <v>382</v>
      </c>
      <c r="C413" s="5">
        <f>SUM(C414:C422)</f>
        <v>25.6036</v>
      </c>
      <c r="D413" s="5">
        <f>SUM(D414:D422)</f>
        <v>24.8278</v>
      </c>
      <c r="E413" s="5">
        <f>SUM(E414:E422)</f>
        <v>40.426000000000002</v>
      </c>
      <c r="F413" s="5">
        <f>SUM(F414:F422)</f>
        <v>485.54900000000004</v>
      </c>
      <c r="G413" s="6">
        <f>F413/B413*100</f>
        <v>127.10706806282724</v>
      </c>
    </row>
    <row r="414" spans="1:7" ht="15.75" x14ac:dyDescent="0.25">
      <c r="A414" s="59" t="s">
        <v>263</v>
      </c>
      <c r="B414" s="38">
        <v>261</v>
      </c>
      <c r="C414" s="9">
        <v>13.718</v>
      </c>
      <c r="D414" s="9">
        <v>10.468999999999999</v>
      </c>
      <c r="E414" s="9">
        <v>15.523</v>
      </c>
      <c r="F414" s="10">
        <v>208.297</v>
      </c>
      <c r="G414" s="9"/>
    </row>
    <row r="415" spans="1:7" ht="15.75" x14ac:dyDescent="0.25">
      <c r="A415" s="59" t="s">
        <v>264</v>
      </c>
      <c r="B415" s="38">
        <v>10</v>
      </c>
      <c r="C415" s="9">
        <v>0.1</v>
      </c>
      <c r="D415" s="10">
        <v>0</v>
      </c>
      <c r="E415" s="9">
        <v>0.99</v>
      </c>
      <c r="F415" s="9">
        <v>4.2</v>
      </c>
      <c r="G415" s="9"/>
    </row>
    <row r="416" spans="1:7" ht="15.75" x14ac:dyDescent="0.25">
      <c r="A416" s="59" t="s">
        <v>265</v>
      </c>
      <c r="B416" s="38">
        <v>30</v>
      </c>
      <c r="C416" s="10">
        <v>7.74</v>
      </c>
      <c r="D416" s="10">
        <v>5.04</v>
      </c>
      <c r="E416" s="10">
        <v>0</v>
      </c>
      <c r="F416" s="10">
        <v>76.2</v>
      </c>
      <c r="G416" s="9"/>
    </row>
    <row r="417" spans="1:7" ht="15.75" x14ac:dyDescent="0.25">
      <c r="A417" s="59" t="s">
        <v>17</v>
      </c>
      <c r="B417" s="38">
        <v>0.2</v>
      </c>
      <c r="C417" s="10">
        <v>2.0799999999999999E-2</v>
      </c>
      <c r="D417" s="10">
        <v>6.6E-3</v>
      </c>
      <c r="E417" s="10">
        <v>7.7399999999999997E-2</v>
      </c>
      <c r="F417" s="10">
        <v>0.502</v>
      </c>
      <c r="G417" s="9"/>
    </row>
    <row r="418" spans="1:7" ht="15.75" x14ac:dyDescent="0.25">
      <c r="A418" s="59" t="s">
        <v>266</v>
      </c>
      <c r="B418" s="38">
        <v>4</v>
      </c>
      <c r="C418" s="10">
        <v>7.0800000000000002E-2</v>
      </c>
      <c r="D418" s="10">
        <v>2.7631999999999999</v>
      </c>
      <c r="E418" s="10">
        <v>0.30959999999999999</v>
      </c>
      <c r="F418" s="10">
        <v>26.34</v>
      </c>
      <c r="G418" s="9"/>
    </row>
    <row r="419" spans="1:7" ht="15.75" x14ac:dyDescent="0.25">
      <c r="A419" s="59" t="s">
        <v>180</v>
      </c>
      <c r="B419" s="38">
        <v>30</v>
      </c>
      <c r="C419" s="9">
        <v>0.75</v>
      </c>
      <c r="D419" s="9">
        <v>6</v>
      </c>
      <c r="E419" s="10">
        <v>1.02</v>
      </c>
      <c r="F419" s="9">
        <v>61.8</v>
      </c>
      <c r="G419" s="9"/>
    </row>
    <row r="420" spans="1:7" ht="15.75" x14ac:dyDescent="0.25">
      <c r="A420" s="59" t="s">
        <v>212</v>
      </c>
      <c r="B420" s="38">
        <v>50</v>
      </c>
      <c r="C420" s="83">
        <v>3</v>
      </c>
      <c r="D420" s="83">
        <v>0.5</v>
      </c>
      <c r="E420" s="83">
        <v>22</v>
      </c>
      <c r="F420" s="83">
        <v>105</v>
      </c>
      <c r="G420" s="9"/>
    </row>
    <row r="421" spans="1:7" ht="15.75" x14ac:dyDescent="0.25">
      <c r="A421" s="59" t="s">
        <v>267</v>
      </c>
      <c r="B421" s="38">
        <v>1</v>
      </c>
      <c r="C421" s="9">
        <v>6.4000000000000001E-2</v>
      </c>
      <c r="D421" s="9">
        <v>5.0000000000000001E-3</v>
      </c>
      <c r="E421" s="10">
        <v>0.31</v>
      </c>
      <c r="F421" s="9">
        <v>1.49</v>
      </c>
      <c r="G421" s="9"/>
    </row>
    <row r="422" spans="1:7" ht="15.75" x14ac:dyDescent="0.25">
      <c r="A422" s="59" t="s">
        <v>160</v>
      </c>
      <c r="B422" s="38">
        <v>4</v>
      </c>
      <c r="C422" s="10">
        <v>0.14000000000000001</v>
      </c>
      <c r="D422" s="10">
        <v>4.3999999999999997E-2</v>
      </c>
      <c r="E422" s="10">
        <v>0.19600000000000001</v>
      </c>
      <c r="F422" s="10">
        <v>1.72</v>
      </c>
      <c r="G422" s="9"/>
    </row>
    <row r="423" spans="1:7" ht="47.25" x14ac:dyDescent="0.25">
      <c r="A423" s="70" t="s">
        <v>268</v>
      </c>
      <c r="B423" s="92"/>
      <c r="C423" s="62"/>
      <c r="D423" s="62"/>
      <c r="E423" s="62"/>
      <c r="F423" s="62"/>
      <c r="G423" s="93"/>
    </row>
    <row r="424" spans="1:7" ht="15.75" x14ac:dyDescent="0.25">
      <c r="A424" s="3" t="s">
        <v>269</v>
      </c>
      <c r="B424" s="4">
        <v>307</v>
      </c>
      <c r="C424" s="5">
        <f>SUM(C425:C430)</f>
        <v>4.1356000000000002</v>
      </c>
      <c r="D424" s="5">
        <f>SUM(D425:D430)</f>
        <v>13.4412</v>
      </c>
      <c r="E424" s="5">
        <f>SUM(E425:E430)</f>
        <v>12.227399999999999</v>
      </c>
      <c r="F424" s="5">
        <f>SUM(F425:F430)</f>
        <v>186.78399999999999</v>
      </c>
      <c r="G424" s="15">
        <f>F424/B424*100</f>
        <v>60.841693811074919</v>
      </c>
    </row>
    <row r="425" spans="1:7" ht="15.75" x14ac:dyDescent="0.25">
      <c r="A425" s="59" t="s">
        <v>270</v>
      </c>
      <c r="B425" s="60">
        <v>260</v>
      </c>
      <c r="C425" s="17">
        <v>2.2776000000000001</v>
      </c>
      <c r="D425" s="17">
        <v>8.7151999999999994</v>
      </c>
      <c r="E425" s="17">
        <v>7.6673999999999998</v>
      </c>
      <c r="F425" s="17">
        <v>115.934</v>
      </c>
      <c r="G425" s="18"/>
    </row>
    <row r="426" spans="1:7" ht="15.75" x14ac:dyDescent="0.25">
      <c r="A426" s="59" t="s">
        <v>10</v>
      </c>
      <c r="B426" s="60">
        <v>20</v>
      </c>
      <c r="C426" s="10">
        <v>0.46</v>
      </c>
      <c r="D426" s="10">
        <v>4.4000000000000004</v>
      </c>
      <c r="E426" s="10">
        <v>0.76</v>
      </c>
      <c r="F426" s="10">
        <v>44.4</v>
      </c>
      <c r="G426" s="20"/>
    </row>
    <row r="427" spans="1:7" ht="15.75" x14ac:dyDescent="0.25">
      <c r="A427" s="59" t="s">
        <v>271</v>
      </c>
      <c r="B427" s="60">
        <v>5</v>
      </c>
      <c r="C427" s="10">
        <v>0.14499999999999999</v>
      </c>
      <c r="D427" s="10">
        <v>0.16</v>
      </c>
      <c r="E427" s="10">
        <v>0.23499999999999999</v>
      </c>
      <c r="F427" s="10">
        <v>3</v>
      </c>
      <c r="G427" s="20"/>
    </row>
    <row r="428" spans="1:7" ht="15.75" x14ac:dyDescent="0.25">
      <c r="A428" s="59" t="s">
        <v>272</v>
      </c>
      <c r="B428" s="60">
        <v>20</v>
      </c>
      <c r="C428" s="10">
        <v>1.149</v>
      </c>
      <c r="D428" s="10">
        <v>0.13300000000000001</v>
      </c>
      <c r="E428" s="10">
        <v>3.1779999999999999</v>
      </c>
      <c r="F428" s="10">
        <v>20.94</v>
      </c>
      <c r="G428" s="20"/>
    </row>
    <row r="429" spans="1:7" ht="15.75" x14ac:dyDescent="0.25">
      <c r="A429" s="59" t="s">
        <v>17</v>
      </c>
      <c r="B429" s="60">
        <v>1</v>
      </c>
      <c r="C429" s="10">
        <v>0.104</v>
      </c>
      <c r="D429" s="10">
        <v>3.3000000000000002E-2</v>
      </c>
      <c r="E429" s="10">
        <v>0.38700000000000001</v>
      </c>
      <c r="F429" s="10">
        <v>2.5099999999999998</v>
      </c>
      <c r="G429" s="20"/>
    </row>
    <row r="430" spans="1:7" ht="15.75" x14ac:dyDescent="0.25">
      <c r="A430" s="59" t="s">
        <v>18</v>
      </c>
      <c r="B430" s="60">
        <v>2</v>
      </c>
      <c r="C430" s="10">
        <v>0</v>
      </c>
      <c r="D430" s="10">
        <v>0</v>
      </c>
      <c r="E430" s="10">
        <v>0</v>
      </c>
      <c r="F430" s="10">
        <v>0</v>
      </c>
      <c r="G430" s="20"/>
    </row>
    <row r="431" spans="1:7" ht="31.5" x14ac:dyDescent="0.25">
      <c r="A431" s="70" t="s">
        <v>273</v>
      </c>
      <c r="B431" s="92"/>
      <c r="C431" s="62"/>
      <c r="D431" s="62"/>
      <c r="E431" s="62"/>
      <c r="F431" s="62"/>
      <c r="G431" s="93"/>
    </row>
    <row r="432" spans="1:7" ht="15.75" x14ac:dyDescent="0.25">
      <c r="A432" s="67" t="s">
        <v>274</v>
      </c>
      <c r="B432" s="68">
        <v>370</v>
      </c>
      <c r="C432" s="69">
        <f>SUM(C433:C439)</f>
        <v>35.489999999999995</v>
      </c>
      <c r="D432" s="69">
        <f>SUM(D433:D439)</f>
        <v>13.47</v>
      </c>
      <c r="E432" s="69">
        <f>SUM(E433:E439)</f>
        <v>27.72</v>
      </c>
      <c r="F432" s="69">
        <f>SUM(F433:F439)</f>
        <v>385.99</v>
      </c>
      <c r="G432" s="69">
        <f>F432/B432*100</f>
        <v>104.32162162162162</v>
      </c>
    </row>
    <row r="433" spans="1:7" ht="15.75" x14ac:dyDescent="0.25">
      <c r="A433" s="59" t="s">
        <v>275</v>
      </c>
      <c r="B433" s="60">
        <v>220</v>
      </c>
      <c r="C433" s="28">
        <v>8.8000000000000007</v>
      </c>
      <c r="D433" s="28">
        <v>4.4000000000000004</v>
      </c>
      <c r="E433" s="28">
        <v>2.2000000000000002</v>
      </c>
      <c r="F433" s="28">
        <v>88</v>
      </c>
      <c r="G433" s="29"/>
    </row>
    <row r="434" spans="1:7" ht="15.75" x14ac:dyDescent="0.25">
      <c r="A434" s="59" t="s">
        <v>276</v>
      </c>
      <c r="B434" s="60">
        <v>70</v>
      </c>
      <c r="C434" s="28">
        <v>3.64</v>
      </c>
      <c r="D434" s="28">
        <v>3.19</v>
      </c>
      <c r="E434" s="28">
        <v>25.02</v>
      </c>
      <c r="F434" s="28">
        <v>145.57</v>
      </c>
      <c r="G434" s="32"/>
    </row>
    <row r="435" spans="1:7" ht="15.75" x14ac:dyDescent="0.25">
      <c r="A435" s="59" t="s">
        <v>150</v>
      </c>
      <c r="B435" s="60">
        <v>40</v>
      </c>
      <c r="C435" s="31">
        <v>11.6</v>
      </c>
      <c r="D435" s="31">
        <v>0.72</v>
      </c>
      <c r="E435" s="31">
        <v>0.2</v>
      </c>
      <c r="F435" s="31">
        <v>54.8</v>
      </c>
      <c r="G435" s="32"/>
    </row>
    <row r="436" spans="1:7" ht="15.75" x14ac:dyDescent="0.25">
      <c r="A436" s="59" t="s">
        <v>277</v>
      </c>
      <c r="B436" s="60">
        <v>40</v>
      </c>
      <c r="C436" s="31">
        <v>8.76</v>
      </c>
      <c r="D436" s="31">
        <v>2.92</v>
      </c>
      <c r="E436" s="31">
        <v>0.12</v>
      </c>
      <c r="F436" s="31">
        <v>65.16</v>
      </c>
      <c r="G436" s="32"/>
    </row>
    <row r="437" spans="1:7" ht="15.75" x14ac:dyDescent="0.25">
      <c r="A437" s="59" t="s">
        <v>278</v>
      </c>
      <c r="B437" s="60">
        <v>2</v>
      </c>
      <c r="C437" s="31">
        <v>7.0000000000000007E-2</v>
      </c>
      <c r="D437" s="31">
        <v>0.02</v>
      </c>
      <c r="E437" s="31">
        <v>0.1</v>
      </c>
      <c r="F437" s="31">
        <v>0.86</v>
      </c>
      <c r="G437" s="32"/>
    </row>
    <row r="438" spans="1:7" ht="15.75" x14ac:dyDescent="0.25">
      <c r="A438" s="59" t="s">
        <v>155</v>
      </c>
      <c r="B438" s="60">
        <v>20</v>
      </c>
      <c r="C438" s="31">
        <v>2.62</v>
      </c>
      <c r="D438" s="31">
        <v>2.2200000000000002</v>
      </c>
      <c r="E438" s="31">
        <v>0.08</v>
      </c>
      <c r="F438" s="31">
        <v>31.6</v>
      </c>
      <c r="G438" s="32"/>
    </row>
    <row r="439" spans="1:7" ht="15.75" x14ac:dyDescent="0.25">
      <c r="A439" s="59" t="s">
        <v>18</v>
      </c>
      <c r="B439" s="60">
        <v>2</v>
      </c>
      <c r="C439" s="31">
        <v>0</v>
      </c>
      <c r="D439" s="31">
        <v>0</v>
      </c>
      <c r="E439" s="31">
        <v>0</v>
      </c>
      <c r="F439" s="31">
        <v>0</v>
      </c>
      <c r="G439" s="32"/>
    </row>
    <row r="440" spans="1:7" ht="15.75" x14ac:dyDescent="0.25">
      <c r="A440" s="59"/>
      <c r="B440" s="60"/>
      <c r="C440" s="31"/>
      <c r="D440" s="31"/>
      <c r="E440" s="31"/>
      <c r="F440" s="31"/>
      <c r="G440" s="32"/>
    </row>
    <row r="441" spans="1:7" ht="15.75" x14ac:dyDescent="0.25">
      <c r="A441" s="67" t="s">
        <v>279</v>
      </c>
      <c r="B441" s="68">
        <v>386</v>
      </c>
      <c r="C441" s="69">
        <f>SUM(C442:C449)</f>
        <v>35.926548186096397</v>
      </c>
      <c r="D441" s="69">
        <f>SUM(D442:D449)</f>
        <v>17.660538171872496</v>
      </c>
      <c r="E441" s="69">
        <f>SUM(E442:E449)</f>
        <v>16.99036624502271</v>
      </c>
      <c r="F441" s="69">
        <f>SUM(F442:F449)</f>
        <v>354.00819622017701</v>
      </c>
      <c r="G441" s="69">
        <f>F441/B441*100</f>
        <v>91.711967932688339</v>
      </c>
    </row>
    <row r="442" spans="1:7" ht="15.75" x14ac:dyDescent="0.25">
      <c r="A442" s="59" t="s">
        <v>280</v>
      </c>
      <c r="B442" s="60">
        <v>250</v>
      </c>
      <c r="C442" s="28">
        <v>15.1778481860964</v>
      </c>
      <c r="D442" s="28">
        <v>14.869258171872501</v>
      </c>
      <c r="E442" s="28">
        <v>5.4032962450227098</v>
      </c>
      <c r="F442" s="28">
        <v>195.568596220177</v>
      </c>
      <c r="G442" s="29"/>
    </row>
    <row r="443" spans="1:7" ht="15.75" x14ac:dyDescent="0.25">
      <c r="A443" s="59" t="s">
        <v>281</v>
      </c>
      <c r="B443" s="60">
        <v>2</v>
      </c>
      <c r="C443" s="31">
        <v>3.6900000000000002E-2</v>
      </c>
      <c r="D443" s="31">
        <v>1.63998</v>
      </c>
      <c r="E443" s="31">
        <v>9.7199999999999995E-3</v>
      </c>
      <c r="F443" s="31">
        <v>14.9596</v>
      </c>
      <c r="G443" s="32"/>
    </row>
    <row r="444" spans="1:7" ht="15.75" x14ac:dyDescent="0.25">
      <c r="A444" s="59" t="s">
        <v>282</v>
      </c>
      <c r="B444" s="60">
        <v>30</v>
      </c>
      <c r="C444" s="31">
        <v>0.87780000000000002</v>
      </c>
      <c r="D444" s="31">
        <v>6.93E-2</v>
      </c>
      <c r="E444" s="31">
        <v>9.2053499999999993</v>
      </c>
      <c r="F444" s="31">
        <v>39.270000000000003</v>
      </c>
      <c r="G444" s="32"/>
    </row>
    <row r="445" spans="1:7" ht="15.75" x14ac:dyDescent="0.25">
      <c r="A445" s="59" t="s">
        <v>132</v>
      </c>
      <c r="B445" s="60">
        <v>15</v>
      </c>
      <c r="C445" s="28">
        <v>0.5</v>
      </c>
      <c r="D445" s="28">
        <v>0.02</v>
      </c>
      <c r="E445" s="28">
        <v>0.74</v>
      </c>
      <c r="F445" s="28">
        <v>4.4000000000000004</v>
      </c>
      <c r="G445" s="29"/>
    </row>
    <row r="446" spans="1:7" ht="15.75" x14ac:dyDescent="0.25">
      <c r="A446" s="59" t="s">
        <v>44</v>
      </c>
      <c r="B446" s="60">
        <v>48</v>
      </c>
      <c r="C446" s="31">
        <v>11.52</v>
      </c>
      <c r="D446" s="31">
        <v>0.36</v>
      </c>
      <c r="E446" s="31">
        <v>0</v>
      </c>
      <c r="F446" s="31">
        <v>53.4</v>
      </c>
      <c r="G446" s="32"/>
    </row>
    <row r="447" spans="1:7" ht="15.75" x14ac:dyDescent="0.25">
      <c r="A447" s="59" t="s">
        <v>283</v>
      </c>
      <c r="B447" s="60">
        <v>40</v>
      </c>
      <c r="C447" s="31">
        <v>7.8</v>
      </c>
      <c r="D447" s="31">
        <v>0.7</v>
      </c>
      <c r="E447" s="31">
        <v>1.55</v>
      </c>
      <c r="F447" s="31">
        <v>46</v>
      </c>
      <c r="G447" s="32"/>
    </row>
    <row r="448" spans="1:7" ht="15.75" x14ac:dyDescent="0.25">
      <c r="A448" s="59" t="s">
        <v>250</v>
      </c>
      <c r="B448" s="60">
        <v>1</v>
      </c>
      <c r="C448" s="28">
        <v>1.4E-2</v>
      </c>
      <c r="D448" s="28">
        <v>2E-3</v>
      </c>
      <c r="E448" s="28">
        <v>8.2000000000000003E-2</v>
      </c>
      <c r="F448" s="28">
        <v>0.41</v>
      </c>
      <c r="G448" s="29"/>
    </row>
    <row r="449" spans="1:7" ht="47.25" x14ac:dyDescent="0.25">
      <c r="A449" s="94" t="s">
        <v>284</v>
      </c>
      <c r="B449" s="60"/>
      <c r="C449" s="31"/>
      <c r="D449" s="31"/>
      <c r="E449" s="31"/>
      <c r="F449" s="31"/>
      <c r="G449" s="32"/>
    </row>
    <row r="450" spans="1:7" s="149" customFormat="1" ht="16.5" customHeight="1" x14ac:dyDescent="0.25">
      <c r="A450" s="130" t="s">
        <v>597</v>
      </c>
      <c r="B450" s="131">
        <v>302</v>
      </c>
      <c r="C450" s="132">
        <f>SUM(C451:C455)</f>
        <v>12.181276000000002</v>
      </c>
      <c r="D450" s="132">
        <f>SUM(D451:D455)</f>
        <v>31.203279999999999</v>
      </c>
      <c r="E450" s="132">
        <f>SUM(E451:E455)</f>
        <v>23.885976000000003</v>
      </c>
      <c r="F450" s="132">
        <f>SUM(F451:F455)</f>
        <v>426.48396000000008</v>
      </c>
      <c r="G450" s="133">
        <f>F450/B450*100</f>
        <v>141.21985430463579</v>
      </c>
    </row>
    <row r="451" spans="1:7" s="149" customFormat="1" ht="17.25" customHeight="1" x14ac:dyDescent="0.25">
      <c r="A451" s="59" t="s">
        <v>598</v>
      </c>
      <c r="B451" s="151">
        <v>280</v>
      </c>
      <c r="C451" s="134">
        <v>10.321276000000001</v>
      </c>
      <c r="D451" s="134">
        <v>28.091280000000001</v>
      </c>
      <c r="E451" s="135">
        <v>15.683975999999999</v>
      </c>
      <c r="F451" s="136">
        <v>357.74396000000002</v>
      </c>
      <c r="G451" s="137"/>
    </row>
    <row r="452" spans="1:7" s="149" customFormat="1" ht="17.25" customHeight="1" x14ac:dyDescent="0.25">
      <c r="A452" s="59" t="s">
        <v>599</v>
      </c>
      <c r="B452" s="151">
        <v>20</v>
      </c>
      <c r="C452" s="138">
        <v>1.4000000000000001</v>
      </c>
      <c r="D452" s="138">
        <v>1.2</v>
      </c>
      <c r="E452" s="139">
        <v>8</v>
      </c>
      <c r="F452" s="136">
        <v>47.599999999999994</v>
      </c>
      <c r="G452" s="140"/>
    </row>
    <row r="453" spans="1:7" s="149" customFormat="1" ht="17.25" customHeight="1" x14ac:dyDescent="0.25">
      <c r="A453" s="59" t="s">
        <v>602</v>
      </c>
      <c r="B453" s="151">
        <v>2</v>
      </c>
      <c r="C453" s="138">
        <v>0</v>
      </c>
      <c r="D453" s="138">
        <v>1.83</v>
      </c>
      <c r="E453" s="139">
        <v>0</v>
      </c>
      <c r="F453" s="136">
        <v>16.48</v>
      </c>
      <c r="G453" s="140"/>
    </row>
    <row r="454" spans="1:7" s="149" customFormat="1" ht="18.75" customHeight="1" x14ac:dyDescent="0.25">
      <c r="A454" s="59" t="s">
        <v>600</v>
      </c>
      <c r="B454" s="151">
        <v>2</v>
      </c>
      <c r="C454" s="138">
        <v>0.46</v>
      </c>
      <c r="D454" s="138">
        <v>8.199999999999999E-2</v>
      </c>
      <c r="E454" s="139">
        <v>0.20199999999999999</v>
      </c>
      <c r="F454" s="136">
        <v>4.66</v>
      </c>
      <c r="G454" s="140"/>
    </row>
    <row r="455" spans="1:7" s="149" customFormat="1" ht="45.75" customHeight="1" x14ac:dyDescent="0.25">
      <c r="A455" s="70" t="s">
        <v>601</v>
      </c>
      <c r="B455" s="151"/>
      <c r="C455" s="138"/>
      <c r="D455" s="138"/>
      <c r="E455" s="139"/>
      <c r="F455" s="136"/>
      <c r="G455" s="140"/>
    </row>
    <row r="456" spans="1:7" ht="15.75" x14ac:dyDescent="0.25">
      <c r="A456" s="90" t="s">
        <v>285</v>
      </c>
      <c r="B456" s="4">
        <v>400</v>
      </c>
      <c r="C456" s="5">
        <f>SUM(C457:C462)</f>
        <v>18.266200000000001</v>
      </c>
      <c r="D456" s="5">
        <f>SUM(D457:D462)</f>
        <v>17.316499999999998</v>
      </c>
      <c r="E456" s="5">
        <f>SUM(E457:E462)</f>
        <v>18.809999999999999</v>
      </c>
      <c r="F456" s="5">
        <f>SUM(F457:F462)</f>
        <v>325.916</v>
      </c>
      <c r="G456" s="15">
        <f>F456/B456*100</f>
        <v>81.478999999999999</v>
      </c>
    </row>
    <row r="457" spans="1:7" ht="15.75" x14ac:dyDescent="0.25">
      <c r="A457" s="70" t="s">
        <v>286</v>
      </c>
      <c r="B457" s="60">
        <v>290</v>
      </c>
      <c r="C457" s="17">
        <v>3.1261999999999999</v>
      </c>
      <c r="D457" s="17">
        <v>0.39150000000000001</v>
      </c>
      <c r="E457" s="91">
        <v>16.675000000000001</v>
      </c>
      <c r="F457" s="10">
        <v>84.215999999999994</v>
      </c>
      <c r="G457" s="85"/>
    </row>
    <row r="458" spans="1:7" ht="15.75" x14ac:dyDescent="0.25">
      <c r="A458" s="70" t="s">
        <v>287</v>
      </c>
      <c r="B458" s="60">
        <v>50</v>
      </c>
      <c r="C458" s="10">
        <v>12.48</v>
      </c>
      <c r="D458" s="10">
        <v>0.39</v>
      </c>
      <c r="E458" s="86">
        <v>0</v>
      </c>
      <c r="F458" s="10">
        <v>57.85</v>
      </c>
      <c r="G458" s="87"/>
    </row>
    <row r="459" spans="1:7" ht="15.75" x14ac:dyDescent="0.25">
      <c r="A459" s="70" t="s">
        <v>10</v>
      </c>
      <c r="B459" s="60">
        <v>50</v>
      </c>
      <c r="C459" s="10">
        <v>1.1499999999999999</v>
      </c>
      <c r="D459" s="10">
        <v>11</v>
      </c>
      <c r="E459" s="86">
        <v>1.9</v>
      </c>
      <c r="F459" s="10">
        <v>111</v>
      </c>
      <c r="G459" s="87"/>
    </row>
    <row r="460" spans="1:7" ht="15.75" x14ac:dyDescent="0.25">
      <c r="A460" s="70" t="s">
        <v>173</v>
      </c>
      <c r="B460" s="60">
        <v>5</v>
      </c>
      <c r="C460" s="10">
        <v>0</v>
      </c>
      <c r="D460" s="10">
        <v>4.58</v>
      </c>
      <c r="E460" s="86">
        <v>0</v>
      </c>
      <c r="F460" s="10">
        <v>44.9</v>
      </c>
      <c r="G460" s="87"/>
    </row>
    <row r="461" spans="1:7" ht="15.75" x14ac:dyDescent="0.25">
      <c r="A461" s="70" t="s">
        <v>288</v>
      </c>
      <c r="B461" s="60">
        <v>5</v>
      </c>
      <c r="C461" s="10">
        <v>1.51</v>
      </c>
      <c r="D461" s="10">
        <v>0.95499999999999996</v>
      </c>
      <c r="E461" s="86">
        <v>0.23499999999999999</v>
      </c>
      <c r="F461" s="10">
        <v>27.95</v>
      </c>
      <c r="G461" s="87"/>
    </row>
    <row r="462" spans="1:7" ht="31.5" x14ac:dyDescent="0.25">
      <c r="A462" s="70" t="s">
        <v>289</v>
      </c>
      <c r="B462" s="182"/>
      <c r="C462" s="183"/>
      <c r="D462" s="183"/>
      <c r="E462" s="183"/>
      <c r="F462" s="183"/>
      <c r="G462" s="184"/>
    </row>
    <row r="463" spans="1:7" ht="21" x14ac:dyDescent="0.25">
      <c r="A463" s="174" t="s">
        <v>290</v>
      </c>
      <c r="B463" s="175"/>
      <c r="C463" s="175"/>
      <c r="D463" s="175"/>
      <c r="E463" s="175"/>
      <c r="F463" s="175"/>
      <c r="G463" s="176"/>
    </row>
    <row r="464" spans="1:7" ht="15.75" x14ac:dyDescent="0.25">
      <c r="A464" s="3" t="s">
        <v>291</v>
      </c>
      <c r="B464" s="4">
        <v>360</v>
      </c>
      <c r="C464" s="5">
        <f>SUM(C465:C480)</f>
        <v>30.584199999999996</v>
      </c>
      <c r="D464" s="5">
        <f>SUM(D465:D480)</f>
        <v>40.28820000000001</v>
      </c>
      <c r="E464" s="5">
        <f>SUM(E465:E480)</f>
        <v>27.567199999999996</v>
      </c>
      <c r="F464" s="5">
        <f>SUM(F465:F480)</f>
        <v>600.4867999999999</v>
      </c>
      <c r="G464" s="5">
        <f>F464/B464*100</f>
        <v>166.80188888888887</v>
      </c>
    </row>
    <row r="465" spans="1:7" ht="15.75" x14ac:dyDescent="0.25">
      <c r="A465" s="59" t="s">
        <v>292</v>
      </c>
      <c r="B465" s="38">
        <v>65</v>
      </c>
      <c r="C465" s="9">
        <v>23.31</v>
      </c>
      <c r="D465" s="9">
        <v>7.4550000000000001</v>
      </c>
      <c r="E465" s="9">
        <v>0</v>
      </c>
      <c r="F465" s="10">
        <v>165.9</v>
      </c>
      <c r="G465" s="9"/>
    </row>
    <row r="466" spans="1:7" ht="15.75" x14ac:dyDescent="0.25">
      <c r="A466" s="59" t="s">
        <v>10</v>
      </c>
      <c r="B466" s="38">
        <v>40</v>
      </c>
      <c r="C466" s="9">
        <v>1.1499999999999999</v>
      </c>
      <c r="D466" s="10">
        <v>11</v>
      </c>
      <c r="E466" s="9">
        <v>1.9</v>
      </c>
      <c r="F466" s="9">
        <v>111</v>
      </c>
      <c r="G466" s="9"/>
    </row>
    <row r="467" spans="1:7" ht="15.75" x14ac:dyDescent="0.25">
      <c r="A467" s="59" t="s">
        <v>293</v>
      </c>
      <c r="B467" s="38">
        <v>11</v>
      </c>
      <c r="C467" s="10">
        <v>0.26</v>
      </c>
      <c r="D467" s="10">
        <v>0.02</v>
      </c>
      <c r="E467" s="10">
        <v>1.06</v>
      </c>
      <c r="F467" s="10">
        <v>5.2</v>
      </c>
      <c r="G467" s="9"/>
    </row>
    <row r="468" spans="1:7" ht="15.75" x14ac:dyDescent="0.25">
      <c r="A468" s="59" t="s">
        <v>132</v>
      </c>
      <c r="B468" s="38">
        <v>31</v>
      </c>
      <c r="C468" s="10">
        <v>1</v>
      </c>
      <c r="D468" s="10">
        <v>0.04</v>
      </c>
      <c r="E468" s="10">
        <v>1.48</v>
      </c>
      <c r="F468" s="10">
        <v>8.8000000000000007</v>
      </c>
      <c r="G468" s="9"/>
    </row>
    <row r="469" spans="1:7" ht="15.75" x14ac:dyDescent="0.25">
      <c r="A469" s="59" t="s">
        <v>23</v>
      </c>
      <c r="B469" s="38">
        <v>2</v>
      </c>
      <c r="C469" s="10">
        <v>0</v>
      </c>
      <c r="D469" s="10">
        <v>4.9950000000000001</v>
      </c>
      <c r="E469" s="10">
        <v>0</v>
      </c>
      <c r="F469" s="10">
        <v>44.95</v>
      </c>
      <c r="G469" s="9"/>
    </row>
    <row r="470" spans="1:7" ht="15.75" x14ac:dyDescent="0.25">
      <c r="A470" s="59" t="s">
        <v>17</v>
      </c>
      <c r="B470" s="8">
        <v>0.2</v>
      </c>
      <c r="C470" s="10">
        <v>2.0799999999999999E-2</v>
      </c>
      <c r="D470" s="10">
        <v>6.6E-3</v>
      </c>
      <c r="E470" s="10">
        <v>7.7399999999999997E-2</v>
      </c>
      <c r="F470" s="10">
        <v>0.502</v>
      </c>
      <c r="G470" s="9"/>
    </row>
    <row r="471" spans="1:7" ht="15.75" x14ac:dyDescent="0.25">
      <c r="A471" s="59" t="s">
        <v>18</v>
      </c>
      <c r="B471" s="38">
        <v>3</v>
      </c>
      <c r="C471" s="83">
        <v>0</v>
      </c>
      <c r="D471" s="83">
        <v>0</v>
      </c>
      <c r="E471" s="83">
        <v>0</v>
      </c>
      <c r="F471" s="83">
        <v>0</v>
      </c>
      <c r="G471" s="9"/>
    </row>
    <row r="472" spans="1:7" ht="15.75" x14ac:dyDescent="0.25">
      <c r="A472" s="59" t="s">
        <v>294</v>
      </c>
      <c r="B472" s="38">
        <v>140</v>
      </c>
      <c r="C472" s="10">
        <v>3.1514000000000002</v>
      </c>
      <c r="D472" s="10">
        <v>6.0815999999999999</v>
      </c>
      <c r="E472" s="10">
        <v>18.8398</v>
      </c>
      <c r="F472" s="10">
        <v>146.62479999999999</v>
      </c>
      <c r="G472" s="9"/>
    </row>
    <row r="473" spans="1:7" ht="15.75" x14ac:dyDescent="0.25">
      <c r="A473" s="59" t="s">
        <v>271</v>
      </c>
      <c r="B473" s="38">
        <v>10</v>
      </c>
      <c r="C473" s="10">
        <v>0.28999999999999998</v>
      </c>
      <c r="D473" s="10">
        <v>0.32</v>
      </c>
      <c r="E473" s="10">
        <v>0.47</v>
      </c>
      <c r="F473" s="10">
        <v>6</v>
      </c>
      <c r="G473" s="9"/>
    </row>
    <row r="474" spans="1:7" ht="15.75" x14ac:dyDescent="0.25">
      <c r="A474" s="59" t="s">
        <v>15</v>
      </c>
      <c r="B474" s="38">
        <v>10</v>
      </c>
      <c r="C474" s="9">
        <v>7.0000000000000007E-2</v>
      </c>
      <c r="D474" s="9">
        <v>8.1999999999999993</v>
      </c>
      <c r="E474" s="9">
        <v>0.06</v>
      </c>
      <c r="F474" s="10">
        <v>74.3</v>
      </c>
      <c r="G474" s="9"/>
    </row>
    <row r="475" spans="1:7" ht="15.75" x14ac:dyDescent="0.25">
      <c r="A475" s="59" t="s">
        <v>295</v>
      </c>
      <c r="B475" s="38">
        <v>10</v>
      </c>
      <c r="C475" s="9">
        <v>0.22500000000000001</v>
      </c>
      <c r="D475" s="10">
        <v>0.06</v>
      </c>
      <c r="E475" s="9">
        <v>1.0249999999999999</v>
      </c>
      <c r="F475" s="9">
        <v>5.52</v>
      </c>
      <c r="G475" s="9"/>
    </row>
    <row r="476" spans="1:7" ht="15.75" x14ac:dyDescent="0.25">
      <c r="A476" s="59" t="s">
        <v>296</v>
      </c>
      <c r="B476" s="38">
        <v>3</v>
      </c>
      <c r="C476" s="10">
        <v>0.18</v>
      </c>
      <c r="D476" s="10">
        <v>1.38</v>
      </c>
      <c r="E476" s="10">
        <v>1.32</v>
      </c>
      <c r="F476" s="10">
        <v>18.75</v>
      </c>
      <c r="G476" s="9"/>
    </row>
    <row r="477" spans="1:7" ht="15.75" x14ac:dyDescent="0.25">
      <c r="A477" s="59" t="s">
        <v>297</v>
      </c>
      <c r="B477" s="38">
        <v>15</v>
      </c>
      <c r="C477" s="10">
        <v>0.15</v>
      </c>
      <c r="D477" s="10">
        <v>0.03</v>
      </c>
      <c r="E477" s="10">
        <v>0.52500000000000002</v>
      </c>
      <c r="F477" s="10">
        <v>1.8</v>
      </c>
      <c r="G477" s="9"/>
    </row>
    <row r="478" spans="1:7" ht="15.75" x14ac:dyDescent="0.25">
      <c r="A478" s="59" t="s">
        <v>298</v>
      </c>
      <c r="B478" s="8">
        <v>0.2</v>
      </c>
      <c r="C478" s="10">
        <v>2E-3</v>
      </c>
      <c r="D478" s="10">
        <v>0</v>
      </c>
      <c r="E478" s="10">
        <v>0.03</v>
      </c>
      <c r="F478" s="10">
        <v>0.13600000000000001</v>
      </c>
      <c r="G478" s="9"/>
    </row>
    <row r="479" spans="1:7" ht="15.75" x14ac:dyDescent="0.25">
      <c r="A479" s="59" t="s">
        <v>299</v>
      </c>
      <c r="B479" s="38">
        <v>10</v>
      </c>
      <c r="C479" s="83">
        <v>0.4</v>
      </c>
      <c r="D479" s="83">
        <v>0.2</v>
      </c>
      <c r="E479" s="83">
        <v>0.1</v>
      </c>
      <c r="F479" s="83">
        <v>4</v>
      </c>
      <c r="G479" s="9"/>
    </row>
    <row r="480" spans="1:7" ht="15.75" x14ac:dyDescent="0.25">
      <c r="A480" s="59" t="s">
        <v>180</v>
      </c>
      <c r="B480" s="38">
        <v>15</v>
      </c>
      <c r="C480" s="9">
        <v>0.375</v>
      </c>
      <c r="D480" s="9">
        <v>0.5</v>
      </c>
      <c r="E480" s="10">
        <v>0.68</v>
      </c>
      <c r="F480" s="9">
        <v>7.0039999999999996</v>
      </c>
      <c r="G480" s="9"/>
    </row>
    <row r="481" spans="1:7" ht="15.75" x14ac:dyDescent="0.25">
      <c r="A481" s="70" t="s">
        <v>300</v>
      </c>
      <c r="B481" s="92"/>
      <c r="C481" s="93"/>
      <c r="D481" s="93"/>
      <c r="E481" s="62"/>
      <c r="F481" s="93"/>
      <c r="G481" s="9"/>
    </row>
    <row r="482" spans="1:7" ht="15.75" x14ac:dyDescent="0.25">
      <c r="A482" s="3" t="s">
        <v>301</v>
      </c>
      <c r="B482" s="4">
        <v>225</v>
      </c>
      <c r="C482" s="5">
        <f>SUM(C483:C490)</f>
        <v>21.960799999999999</v>
      </c>
      <c r="D482" s="5">
        <f>SUM(D483:D490)</f>
        <v>14.281599999999999</v>
      </c>
      <c r="E482" s="5">
        <f>SUM(E483:E490)</f>
        <v>16.782400000000003</v>
      </c>
      <c r="F482" s="5">
        <f>SUM(F483:F490)</f>
        <v>286.10199999999998</v>
      </c>
      <c r="G482" s="15">
        <f>F482/B482*100</f>
        <v>127.15644444444443</v>
      </c>
    </row>
    <row r="483" spans="1:7" ht="15.75" x14ac:dyDescent="0.25">
      <c r="A483" s="59" t="s">
        <v>44</v>
      </c>
      <c r="B483" s="60">
        <v>50</v>
      </c>
      <c r="C483" s="17">
        <v>13.44</v>
      </c>
      <c r="D483" s="17">
        <v>0.42</v>
      </c>
      <c r="E483" s="17">
        <v>0</v>
      </c>
      <c r="F483" s="17">
        <v>62.3</v>
      </c>
      <c r="G483" s="18"/>
    </row>
    <row r="484" spans="1:7" ht="15.75" x14ac:dyDescent="0.25">
      <c r="A484" s="59" t="s">
        <v>302</v>
      </c>
      <c r="B484" s="60">
        <v>150</v>
      </c>
      <c r="C484" s="10">
        <v>3.375</v>
      </c>
      <c r="D484" s="10">
        <v>0.9</v>
      </c>
      <c r="E484" s="10">
        <v>15.375</v>
      </c>
      <c r="F484" s="10">
        <v>82.8</v>
      </c>
      <c r="G484" s="20"/>
    </row>
    <row r="485" spans="1:7" ht="15.75" x14ac:dyDescent="0.25">
      <c r="A485" s="59" t="s">
        <v>250</v>
      </c>
      <c r="B485" s="60">
        <v>10</v>
      </c>
      <c r="C485" s="10">
        <v>0.14000000000000001</v>
      </c>
      <c r="D485" s="10">
        <v>0.02</v>
      </c>
      <c r="E485" s="10">
        <v>0.82</v>
      </c>
      <c r="F485" s="10">
        <v>4.0999999999999996</v>
      </c>
      <c r="G485" s="20"/>
    </row>
    <row r="486" spans="1:7" ht="15.75" x14ac:dyDescent="0.25">
      <c r="A486" s="59" t="s">
        <v>23</v>
      </c>
      <c r="B486" s="60">
        <v>3</v>
      </c>
      <c r="C486" s="10">
        <v>0</v>
      </c>
      <c r="D486" s="10">
        <v>4.9950000000000001</v>
      </c>
      <c r="E486" s="10">
        <v>0</v>
      </c>
      <c r="F486" s="10">
        <v>44.95</v>
      </c>
      <c r="G486" s="20"/>
    </row>
    <row r="487" spans="1:7" ht="15.75" x14ac:dyDescent="0.25">
      <c r="A487" s="59" t="s">
        <v>15</v>
      </c>
      <c r="B487" s="60">
        <v>3</v>
      </c>
      <c r="C487" s="10">
        <v>3.5000000000000003E-2</v>
      </c>
      <c r="D487" s="10">
        <v>4.0999999999999996</v>
      </c>
      <c r="E487" s="10">
        <v>0.03</v>
      </c>
      <c r="F487" s="10">
        <v>37.15</v>
      </c>
      <c r="G487" s="20"/>
    </row>
    <row r="488" spans="1:7" ht="15.75" x14ac:dyDescent="0.25">
      <c r="A488" s="59" t="s">
        <v>17</v>
      </c>
      <c r="B488" s="60">
        <v>0.2</v>
      </c>
      <c r="C488" s="10">
        <v>2.0799999999999999E-2</v>
      </c>
      <c r="D488" s="10">
        <v>6.6E-3</v>
      </c>
      <c r="E488" s="10">
        <v>7.7399999999999997E-2</v>
      </c>
      <c r="F488" s="10">
        <v>0.502</v>
      </c>
      <c r="G488" s="20"/>
    </row>
    <row r="489" spans="1:7" ht="15.75" x14ac:dyDescent="0.25">
      <c r="A489" s="59" t="s">
        <v>18</v>
      </c>
      <c r="B489" s="60">
        <v>3</v>
      </c>
      <c r="C489" s="17">
        <v>0</v>
      </c>
      <c r="D489" s="17">
        <v>0</v>
      </c>
      <c r="E489" s="17">
        <v>0</v>
      </c>
      <c r="F489" s="17">
        <v>0</v>
      </c>
      <c r="G489" s="18"/>
    </row>
    <row r="490" spans="1:7" ht="15.75" x14ac:dyDescent="0.25">
      <c r="A490" s="59" t="s">
        <v>12</v>
      </c>
      <c r="B490" s="60">
        <v>15</v>
      </c>
      <c r="C490" s="10">
        <v>4.95</v>
      </c>
      <c r="D490" s="10">
        <v>3.84</v>
      </c>
      <c r="E490" s="10">
        <v>0.48</v>
      </c>
      <c r="F490" s="10">
        <v>54.3</v>
      </c>
      <c r="G490" s="20"/>
    </row>
    <row r="491" spans="1:7" ht="15.75" x14ac:dyDescent="0.25">
      <c r="A491" s="3" t="s">
        <v>303</v>
      </c>
      <c r="B491" s="4">
        <v>365</v>
      </c>
      <c r="C491" s="5">
        <f>SUM(C492:C500)</f>
        <v>31.419800000000002</v>
      </c>
      <c r="D491" s="5">
        <f>SUM(D492:D500)</f>
        <v>55.9696</v>
      </c>
      <c r="E491" s="5">
        <f>SUM(E492:E500)</f>
        <v>19.398399999999999</v>
      </c>
      <c r="F491" s="5">
        <f>SUM(F492:F500)</f>
        <v>705.92200000000003</v>
      </c>
      <c r="G491" s="15">
        <f>F491/B491*100</f>
        <v>193.4032876712329</v>
      </c>
    </row>
    <row r="492" spans="1:7" ht="15.75" x14ac:dyDescent="0.25">
      <c r="A492" s="59" t="s">
        <v>304</v>
      </c>
      <c r="B492" s="60">
        <v>140</v>
      </c>
      <c r="C492" s="17">
        <v>27</v>
      </c>
      <c r="D492" s="17">
        <v>30.6</v>
      </c>
      <c r="E492" s="17">
        <v>0</v>
      </c>
      <c r="F492" s="17">
        <v>383.4</v>
      </c>
      <c r="G492" s="18"/>
    </row>
    <row r="493" spans="1:7" ht="15.75" x14ac:dyDescent="0.25">
      <c r="A493" s="59" t="s">
        <v>302</v>
      </c>
      <c r="B493" s="60">
        <v>160</v>
      </c>
      <c r="C493" s="10">
        <v>3.375</v>
      </c>
      <c r="D493" s="10">
        <v>0.9</v>
      </c>
      <c r="E493" s="10">
        <v>15.375</v>
      </c>
      <c r="F493" s="10">
        <v>82.8</v>
      </c>
      <c r="G493" s="20"/>
    </row>
    <row r="494" spans="1:7" ht="15.75" x14ac:dyDescent="0.25">
      <c r="A494" s="59" t="s">
        <v>293</v>
      </c>
      <c r="B494" s="60">
        <v>38</v>
      </c>
      <c r="C494" s="10">
        <v>0.65</v>
      </c>
      <c r="D494" s="10">
        <v>0.05</v>
      </c>
      <c r="E494" s="10">
        <v>2.65</v>
      </c>
      <c r="F494" s="10">
        <v>13</v>
      </c>
      <c r="G494" s="20"/>
    </row>
    <row r="495" spans="1:7" ht="15.75" x14ac:dyDescent="0.25">
      <c r="A495" s="59" t="s">
        <v>23</v>
      </c>
      <c r="B495" s="60">
        <v>3</v>
      </c>
      <c r="C495" s="10">
        <v>0</v>
      </c>
      <c r="D495" s="10">
        <v>7.992</v>
      </c>
      <c r="E495" s="10">
        <v>0</v>
      </c>
      <c r="F495" s="10">
        <v>71.92</v>
      </c>
      <c r="G495" s="20"/>
    </row>
    <row r="496" spans="1:7" ht="15.75" x14ac:dyDescent="0.25">
      <c r="A496" s="59" t="s">
        <v>15</v>
      </c>
      <c r="B496" s="60">
        <v>20</v>
      </c>
      <c r="C496" s="10">
        <v>0.14000000000000001</v>
      </c>
      <c r="D496" s="10">
        <v>16.399999999999999</v>
      </c>
      <c r="E496" s="10">
        <v>0.12</v>
      </c>
      <c r="F496" s="10">
        <v>148.6</v>
      </c>
      <c r="G496" s="20"/>
    </row>
    <row r="497" spans="1:7" ht="15.75" x14ac:dyDescent="0.25">
      <c r="A497" s="59" t="s">
        <v>17</v>
      </c>
      <c r="B497" s="60">
        <v>0.2</v>
      </c>
      <c r="C497" s="10">
        <v>2.0799999999999999E-2</v>
      </c>
      <c r="D497" s="10">
        <v>6.6E-3</v>
      </c>
      <c r="E497" s="10">
        <v>7.7399999999999997E-2</v>
      </c>
      <c r="F497" s="10">
        <v>0.502</v>
      </c>
      <c r="G497" s="20"/>
    </row>
    <row r="498" spans="1:7" ht="15.75" x14ac:dyDescent="0.25">
      <c r="A498" s="59" t="s">
        <v>18</v>
      </c>
      <c r="B498" s="60">
        <v>3</v>
      </c>
      <c r="C498" s="17">
        <v>0</v>
      </c>
      <c r="D498" s="17">
        <v>0</v>
      </c>
      <c r="E498" s="17">
        <v>0</v>
      </c>
      <c r="F498" s="17">
        <v>0</v>
      </c>
      <c r="G498" s="18"/>
    </row>
    <row r="499" spans="1:7" ht="15.75" x14ac:dyDescent="0.25">
      <c r="A499" s="59" t="s">
        <v>114</v>
      </c>
      <c r="B499" s="60">
        <v>3</v>
      </c>
      <c r="C499" s="10">
        <v>4.2000000000000003E-2</v>
      </c>
      <c r="D499" s="10">
        <v>6.0000000000000001E-3</v>
      </c>
      <c r="E499" s="10">
        <v>0.246</v>
      </c>
      <c r="F499" s="10">
        <v>1.23</v>
      </c>
      <c r="G499" s="20"/>
    </row>
    <row r="500" spans="1:7" ht="15.75" x14ac:dyDescent="0.25">
      <c r="A500" s="59" t="s">
        <v>267</v>
      </c>
      <c r="B500" s="60">
        <v>3</v>
      </c>
      <c r="C500" s="17">
        <v>0.192</v>
      </c>
      <c r="D500" s="17">
        <v>1.4999999999999999E-2</v>
      </c>
      <c r="E500" s="17">
        <v>0.93</v>
      </c>
      <c r="F500" s="17">
        <v>4.47</v>
      </c>
      <c r="G500" s="18"/>
    </row>
    <row r="501" spans="1:7" ht="15.75" x14ac:dyDescent="0.25">
      <c r="A501" s="3" t="s">
        <v>305</v>
      </c>
      <c r="B501" s="4">
        <v>330</v>
      </c>
      <c r="C501" s="5">
        <f>SUM(C502:C509)</f>
        <v>57.680540000000008</v>
      </c>
      <c r="D501" s="5">
        <f>SUM(D502:D509)</f>
        <v>7.6097399999999995</v>
      </c>
      <c r="E501" s="5">
        <f>SUM(E502:E509)</f>
        <v>8.82592</v>
      </c>
      <c r="F501" s="5">
        <f>SUM(F502:F509)</f>
        <v>334.2242</v>
      </c>
      <c r="G501" s="15">
        <f>F501/B501*100</f>
        <v>101.2800606060606</v>
      </c>
    </row>
    <row r="502" spans="1:7" ht="15.75" x14ac:dyDescent="0.25">
      <c r="A502" s="59" t="s">
        <v>306</v>
      </c>
      <c r="B502" s="60">
        <v>170</v>
      </c>
      <c r="C502" s="17">
        <v>47.2</v>
      </c>
      <c r="D502" s="17">
        <v>3.8</v>
      </c>
      <c r="E502" s="17">
        <v>0.8</v>
      </c>
      <c r="F502" s="17">
        <v>226</v>
      </c>
      <c r="G502" s="18"/>
    </row>
    <row r="503" spans="1:7" ht="15.75" x14ac:dyDescent="0.25">
      <c r="A503" s="59" t="s">
        <v>307</v>
      </c>
      <c r="B503" s="60">
        <v>15</v>
      </c>
      <c r="C503" s="10">
        <v>0.84065999999999996</v>
      </c>
      <c r="D503" s="10">
        <v>0.28867999999999999</v>
      </c>
      <c r="E503" s="10">
        <v>0.76614000000000004</v>
      </c>
      <c r="F503" s="10">
        <v>8.6590000000000007</v>
      </c>
      <c r="G503" s="20"/>
    </row>
    <row r="504" spans="1:7" ht="15.75" x14ac:dyDescent="0.25">
      <c r="A504" s="59" t="s">
        <v>67</v>
      </c>
      <c r="B504" s="60">
        <v>30</v>
      </c>
      <c r="C504" s="10">
        <v>0.84065999999999996</v>
      </c>
      <c r="D504" s="10">
        <v>0.28867999999999999</v>
      </c>
      <c r="E504" s="10">
        <v>0.76614000000000004</v>
      </c>
      <c r="F504" s="10">
        <v>8.6590000000000007</v>
      </c>
      <c r="G504" s="20"/>
    </row>
    <row r="505" spans="1:7" ht="15.75" x14ac:dyDescent="0.25">
      <c r="A505" s="59" t="s">
        <v>308</v>
      </c>
      <c r="B505" s="60">
        <v>70</v>
      </c>
      <c r="C505" s="10">
        <v>3.84</v>
      </c>
      <c r="D505" s="10">
        <v>0.24</v>
      </c>
      <c r="E505" s="10">
        <v>2.48</v>
      </c>
      <c r="F505" s="10">
        <v>28</v>
      </c>
      <c r="G505" s="20"/>
    </row>
    <row r="506" spans="1:7" ht="15.75" x14ac:dyDescent="0.25">
      <c r="A506" s="59" t="s">
        <v>309</v>
      </c>
      <c r="B506" s="60">
        <v>3</v>
      </c>
      <c r="C506" s="10">
        <v>8.0699999999999994E-2</v>
      </c>
      <c r="D506" s="10">
        <v>1.7444999999999999</v>
      </c>
      <c r="E506" s="10">
        <v>0.3906</v>
      </c>
      <c r="F506" s="10">
        <v>17.52</v>
      </c>
      <c r="G506" s="20"/>
    </row>
    <row r="507" spans="1:7" ht="15.75" x14ac:dyDescent="0.25">
      <c r="A507" s="59" t="s">
        <v>310</v>
      </c>
      <c r="B507" s="60">
        <v>60</v>
      </c>
      <c r="C507" s="10">
        <v>4.8577199999999996</v>
      </c>
      <c r="D507" s="10">
        <v>1.2412799999999999</v>
      </c>
      <c r="E507" s="10">
        <v>3.5456400000000001</v>
      </c>
      <c r="F507" s="10">
        <v>44.8842</v>
      </c>
      <c r="G507" s="20"/>
    </row>
    <row r="508" spans="1:7" ht="15.75" x14ac:dyDescent="0.25">
      <c r="A508" s="59" t="s">
        <v>17</v>
      </c>
      <c r="B508" s="60">
        <v>0.2</v>
      </c>
      <c r="C508" s="17">
        <v>2.0799999999999999E-2</v>
      </c>
      <c r="D508" s="17">
        <v>6.6E-3</v>
      </c>
      <c r="E508" s="17">
        <v>7.7399999999999997E-2</v>
      </c>
      <c r="F508" s="17">
        <v>0.502</v>
      </c>
      <c r="G508" s="18"/>
    </row>
    <row r="509" spans="1:7" ht="15.75" x14ac:dyDescent="0.25">
      <c r="A509" s="59" t="s">
        <v>18</v>
      </c>
      <c r="B509" s="60">
        <v>3</v>
      </c>
      <c r="C509" s="10">
        <v>0</v>
      </c>
      <c r="D509" s="10">
        <v>0</v>
      </c>
      <c r="E509" s="10">
        <v>0</v>
      </c>
      <c r="F509" s="10">
        <v>0</v>
      </c>
      <c r="G509" s="20"/>
    </row>
    <row r="510" spans="1:7" ht="31.5" x14ac:dyDescent="0.25">
      <c r="A510" s="70" t="s">
        <v>311</v>
      </c>
      <c r="B510" s="92"/>
      <c r="C510" s="93"/>
      <c r="D510" s="93"/>
      <c r="E510" s="62"/>
      <c r="F510" s="93"/>
      <c r="G510" s="9"/>
    </row>
    <row r="511" spans="1:7" ht="15.75" x14ac:dyDescent="0.25">
      <c r="A511" s="3" t="s">
        <v>312</v>
      </c>
      <c r="B511" s="4">
        <v>265</v>
      </c>
      <c r="C511" s="5">
        <f>SUM(C512:C522)</f>
        <v>32.168800000000005</v>
      </c>
      <c r="D511" s="5">
        <f>SUM(D512:D522)</f>
        <v>22.846599999999999</v>
      </c>
      <c r="E511" s="5">
        <f>SUM(E512:E522)</f>
        <v>10.9244</v>
      </c>
      <c r="F511" s="5">
        <f>SUM(F512:F522)</f>
        <v>364.06600000000003</v>
      </c>
      <c r="G511" s="15">
        <f>F511/215*100</f>
        <v>169.33302325581397</v>
      </c>
    </row>
    <row r="512" spans="1:7" ht="15.75" x14ac:dyDescent="0.25">
      <c r="A512" s="59" t="s">
        <v>313</v>
      </c>
      <c r="B512" s="60">
        <v>120</v>
      </c>
      <c r="C512" s="17">
        <v>29.204999999999998</v>
      </c>
      <c r="D512" s="17">
        <v>17.504999999999999</v>
      </c>
      <c r="E512" s="17">
        <v>3.4350000000000001</v>
      </c>
      <c r="F512" s="17">
        <v>272.59500000000003</v>
      </c>
      <c r="G512" s="18"/>
    </row>
    <row r="513" spans="1:7" ht="15.75" x14ac:dyDescent="0.25">
      <c r="A513" s="59" t="s">
        <v>132</v>
      </c>
      <c r="B513" s="60">
        <v>15</v>
      </c>
      <c r="C513" s="10">
        <v>0.5</v>
      </c>
      <c r="D513" s="10">
        <v>0.02</v>
      </c>
      <c r="E513" s="10">
        <v>0.74</v>
      </c>
      <c r="F513" s="10">
        <v>4.4000000000000004</v>
      </c>
      <c r="G513" s="20"/>
    </row>
    <row r="514" spans="1:7" ht="15.75" x14ac:dyDescent="0.25">
      <c r="A514" s="59" t="s">
        <v>252</v>
      </c>
      <c r="B514" s="60">
        <v>10</v>
      </c>
      <c r="C514" s="10">
        <v>0.1</v>
      </c>
      <c r="D514" s="10">
        <v>0</v>
      </c>
      <c r="E514" s="10">
        <v>3.8</v>
      </c>
      <c r="F514" s="10">
        <v>16</v>
      </c>
      <c r="G514" s="20"/>
    </row>
    <row r="515" spans="1:7" ht="15.75" x14ac:dyDescent="0.25">
      <c r="A515" s="59" t="s">
        <v>14</v>
      </c>
      <c r="B515" s="60">
        <v>8</v>
      </c>
      <c r="C515" s="10">
        <v>0.25</v>
      </c>
      <c r="D515" s="10">
        <v>0.01</v>
      </c>
      <c r="E515" s="10">
        <v>1.36</v>
      </c>
      <c r="F515" s="10">
        <v>7.2</v>
      </c>
      <c r="G515" s="20"/>
    </row>
    <row r="516" spans="1:7" ht="15.75" x14ac:dyDescent="0.25">
      <c r="A516" s="59" t="s">
        <v>314</v>
      </c>
      <c r="B516" s="60">
        <v>23</v>
      </c>
      <c r="C516" s="10">
        <v>1.3049999999999999</v>
      </c>
      <c r="D516" s="10">
        <v>0.18</v>
      </c>
      <c r="E516" s="10">
        <v>0.63</v>
      </c>
      <c r="F516" s="10">
        <v>10.35</v>
      </c>
      <c r="G516" s="20"/>
    </row>
    <row r="517" spans="1:7" ht="15.75" x14ac:dyDescent="0.25">
      <c r="A517" s="59" t="s">
        <v>23</v>
      </c>
      <c r="B517" s="60">
        <v>3</v>
      </c>
      <c r="C517" s="10">
        <v>0</v>
      </c>
      <c r="D517" s="10">
        <v>4.9950000000000001</v>
      </c>
      <c r="E517" s="10">
        <v>0</v>
      </c>
      <c r="F517" s="10">
        <v>44.95</v>
      </c>
      <c r="G517" s="20"/>
    </row>
    <row r="518" spans="1:7" ht="15.75" x14ac:dyDescent="0.25">
      <c r="A518" s="59" t="s">
        <v>315</v>
      </c>
      <c r="B518" s="60">
        <v>15</v>
      </c>
      <c r="C518" s="17">
        <v>0.58799999999999997</v>
      </c>
      <c r="D518" s="17">
        <v>0.105</v>
      </c>
      <c r="E518" s="17">
        <v>0.182</v>
      </c>
      <c r="F518" s="17">
        <v>4.319</v>
      </c>
      <c r="G518" s="18"/>
    </row>
    <row r="519" spans="1:7" ht="15.75" x14ac:dyDescent="0.25">
      <c r="A519" s="59" t="s">
        <v>67</v>
      </c>
      <c r="B519" s="60">
        <v>25</v>
      </c>
      <c r="C519" s="10">
        <v>0.2</v>
      </c>
      <c r="D519" s="10">
        <v>2.5000000000000001E-2</v>
      </c>
      <c r="E519" s="10">
        <v>0.7</v>
      </c>
      <c r="F519" s="10">
        <v>3.75</v>
      </c>
      <c r="G519" s="20"/>
    </row>
    <row r="520" spans="1:7" ht="15.75" x14ac:dyDescent="0.25">
      <c r="A520" s="59" t="s">
        <v>316</v>
      </c>
      <c r="B520" s="60">
        <v>50</v>
      </c>
      <c r="C520" s="17">
        <v>0</v>
      </c>
      <c r="D520" s="17">
        <v>0</v>
      </c>
      <c r="E520" s="17">
        <v>0</v>
      </c>
      <c r="F520" s="17">
        <v>0</v>
      </c>
      <c r="G520" s="18"/>
    </row>
    <row r="521" spans="1:7" ht="15.75" x14ac:dyDescent="0.25">
      <c r="A521" s="59" t="s">
        <v>17</v>
      </c>
      <c r="B521" s="60">
        <v>0.2</v>
      </c>
      <c r="C521" s="10">
        <v>2.0799999999999999E-2</v>
      </c>
      <c r="D521" s="10">
        <v>6.6E-3</v>
      </c>
      <c r="E521" s="10">
        <v>7.7399999999999997E-2</v>
      </c>
      <c r="F521" s="10">
        <v>0.502</v>
      </c>
      <c r="G521" s="20"/>
    </row>
    <row r="522" spans="1:7" ht="15.75" x14ac:dyDescent="0.25">
      <c r="A522" s="59" t="s">
        <v>18</v>
      </c>
      <c r="B522" s="60">
        <v>3</v>
      </c>
      <c r="C522" s="10">
        <v>0</v>
      </c>
      <c r="D522" s="10">
        <v>0</v>
      </c>
      <c r="E522" s="10">
        <v>0</v>
      </c>
      <c r="F522" s="10">
        <v>0</v>
      </c>
      <c r="G522" s="20"/>
    </row>
    <row r="523" spans="1:7" ht="15.75" x14ac:dyDescent="0.25">
      <c r="A523" s="3" t="s">
        <v>318</v>
      </c>
      <c r="B523" s="4">
        <v>452</v>
      </c>
      <c r="C523" s="5">
        <f>SUM(C524:C530)</f>
        <v>49.175049999999999</v>
      </c>
      <c r="D523" s="5">
        <f>SUM(D524:D530)</f>
        <v>59.213100000000004</v>
      </c>
      <c r="E523" s="5">
        <f>SUM(E524:E530)</f>
        <v>18.663400000000003</v>
      </c>
      <c r="F523" s="5">
        <f>SUM(F524:F530)</f>
        <v>803.0095</v>
      </c>
      <c r="G523" s="15">
        <f>F523/B523*100</f>
        <v>177.65696902654869</v>
      </c>
    </row>
    <row r="524" spans="1:7" ht="15.75" x14ac:dyDescent="0.25">
      <c r="A524" s="59" t="s">
        <v>319</v>
      </c>
      <c r="B524" s="60">
        <v>290</v>
      </c>
      <c r="C524" s="17">
        <v>47.337249999999997</v>
      </c>
      <c r="D524" s="17">
        <v>58.957500000000003</v>
      </c>
      <c r="E524" s="17">
        <v>2.1240000000000001</v>
      </c>
      <c r="F524" s="17">
        <v>725.8175</v>
      </c>
      <c r="G524" s="18"/>
    </row>
    <row r="525" spans="1:7" ht="15.75" x14ac:dyDescent="0.25">
      <c r="A525" s="59" t="s">
        <v>83</v>
      </c>
      <c r="B525" s="60">
        <v>130</v>
      </c>
      <c r="C525" s="10">
        <v>1.44</v>
      </c>
      <c r="D525" s="10">
        <v>0.24</v>
      </c>
      <c r="E525" s="10">
        <v>4.5599999999999996</v>
      </c>
      <c r="F525" s="10">
        <v>25.2</v>
      </c>
      <c r="G525" s="20"/>
    </row>
    <row r="526" spans="1:7" ht="15.75" x14ac:dyDescent="0.25">
      <c r="A526" s="59" t="s">
        <v>252</v>
      </c>
      <c r="B526" s="60">
        <v>24</v>
      </c>
      <c r="C526" s="10">
        <v>0.3</v>
      </c>
      <c r="D526" s="10">
        <v>0</v>
      </c>
      <c r="E526" s="10">
        <v>11.4</v>
      </c>
      <c r="F526" s="10">
        <v>48</v>
      </c>
      <c r="G526" s="20"/>
    </row>
    <row r="527" spans="1:7" ht="15.75" x14ac:dyDescent="0.25">
      <c r="A527" s="59" t="s">
        <v>53</v>
      </c>
      <c r="B527" s="60">
        <v>7</v>
      </c>
      <c r="C527" s="10">
        <v>6.3E-2</v>
      </c>
      <c r="D527" s="10">
        <v>7.0000000000000001E-3</v>
      </c>
      <c r="E527" s="10">
        <v>0.42</v>
      </c>
      <c r="F527" s="10">
        <v>3.08</v>
      </c>
      <c r="G527" s="20"/>
    </row>
    <row r="528" spans="1:7" ht="15.75" x14ac:dyDescent="0.25">
      <c r="A528" s="59" t="s">
        <v>17</v>
      </c>
      <c r="B528" s="60">
        <v>0.2</v>
      </c>
      <c r="C528" s="10">
        <v>2.0799999999999999E-2</v>
      </c>
      <c r="D528" s="10">
        <v>6.6E-3</v>
      </c>
      <c r="E528" s="10">
        <v>7.7399999999999997E-2</v>
      </c>
      <c r="F528" s="10">
        <v>0.502</v>
      </c>
      <c r="G528" s="20"/>
    </row>
    <row r="529" spans="1:7" ht="15.75" x14ac:dyDescent="0.25">
      <c r="A529" s="59" t="s">
        <v>18</v>
      </c>
      <c r="B529" s="60">
        <v>3</v>
      </c>
      <c r="C529" s="10">
        <v>0</v>
      </c>
      <c r="D529" s="10">
        <v>0</v>
      </c>
      <c r="E529" s="10">
        <v>0</v>
      </c>
      <c r="F529" s="10">
        <v>0</v>
      </c>
      <c r="G529" s="20"/>
    </row>
    <row r="530" spans="1:7" ht="15.75" x14ac:dyDescent="0.25">
      <c r="A530" s="59" t="s">
        <v>114</v>
      </c>
      <c r="B530" s="60">
        <v>1</v>
      </c>
      <c r="C530" s="17">
        <v>1.4E-2</v>
      </c>
      <c r="D530" s="17">
        <v>2E-3</v>
      </c>
      <c r="E530" s="17">
        <v>8.2000000000000003E-2</v>
      </c>
      <c r="F530" s="17">
        <v>0.41</v>
      </c>
      <c r="G530" s="18"/>
    </row>
    <row r="531" spans="1:7" ht="15.75" x14ac:dyDescent="0.25">
      <c r="A531" s="70" t="s">
        <v>320</v>
      </c>
      <c r="B531" s="95"/>
      <c r="C531" s="62"/>
      <c r="D531" s="62"/>
      <c r="E531" s="62"/>
      <c r="F531" s="62"/>
      <c r="G531" s="63"/>
    </row>
    <row r="532" spans="1:7" ht="15.75" x14ac:dyDescent="0.25">
      <c r="A532" s="3" t="s">
        <v>321</v>
      </c>
      <c r="B532" s="4">
        <v>330</v>
      </c>
      <c r="C532" s="5">
        <f>SUM(C533:C536)</f>
        <v>30.112000000000002</v>
      </c>
      <c r="D532" s="5">
        <f>SUM(D533:D536)</f>
        <v>24.100099999999998</v>
      </c>
      <c r="E532" s="5">
        <f>SUM(E533:E536)</f>
        <v>53.43535</v>
      </c>
      <c r="F532" s="5">
        <f>SUM(F533:F536)</f>
        <v>499.25479999999999</v>
      </c>
      <c r="G532" s="15">
        <f>F532/B532*100</f>
        <v>151.28933333333333</v>
      </c>
    </row>
    <row r="533" spans="1:7" ht="15.75" x14ac:dyDescent="0.25">
      <c r="A533" s="59" t="s">
        <v>322</v>
      </c>
      <c r="B533" s="60">
        <v>130</v>
      </c>
      <c r="C533" s="17">
        <v>24.18</v>
      </c>
      <c r="D533" s="17">
        <v>8.84</v>
      </c>
      <c r="E533" s="17">
        <v>2.73</v>
      </c>
      <c r="F533" s="17">
        <v>189.8</v>
      </c>
      <c r="G533" s="18"/>
    </row>
    <row r="534" spans="1:7" ht="15.75" x14ac:dyDescent="0.25">
      <c r="A534" s="59" t="s">
        <v>323</v>
      </c>
      <c r="B534" s="60">
        <v>140</v>
      </c>
      <c r="C534" s="10">
        <v>3.1514000000000002</v>
      </c>
      <c r="D534" s="10">
        <v>6.0815999999999999</v>
      </c>
      <c r="E534" s="10">
        <v>18.8398</v>
      </c>
      <c r="F534" s="10">
        <v>146.62479999999999</v>
      </c>
      <c r="G534" s="20"/>
    </row>
    <row r="535" spans="1:7" ht="15.75" x14ac:dyDescent="0.25">
      <c r="A535" s="59" t="s">
        <v>46</v>
      </c>
      <c r="B535" s="60">
        <v>10</v>
      </c>
      <c r="C535" s="10">
        <v>0.6</v>
      </c>
      <c r="D535" s="10">
        <v>4.5999999999999996</v>
      </c>
      <c r="E535" s="10">
        <v>4.4000000000000004</v>
      </c>
      <c r="F535" s="10">
        <v>62.5</v>
      </c>
      <c r="G535" s="20"/>
    </row>
    <row r="536" spans="1:7" ht="15.75" x14ac:dyDescent="0.25">
      <c r="A536" s="79" t="s">
        <v>324</v>
      </c>
      <c r="B536" s="78">
        <v>50</v>
      </c>
      <c r="C536" s="12">
        <v>2.1806000000000001</v>
      </c>
      <c r="D536" s="12">
        <v>4.5785</v>
      </c>
      <c r="E536" s="12">
        <v>27.46555</v>
      </c>
      <c r="F536" s="12">
        <v>100.33</v>
      </c>
      <c r="G536" s="22"/>
    </row>
    <row r="537" spans="1:7" ht="47.25" x14ac:dyDescent="0.25">
      <c r="A537" s="70" t="s">
        <v>325</v>
      </c>
      <c r="B537" s="60"/>
      <c r="C537" s="10"/>
      <c r="D537" s="10"/>
      <c r="E537" s="10"/>
      <c r="F537" s="10"/>
      <c r="G537" s="20"/>
    </row>
    <row r="538" spans="1:7" ht="15.75" x14ac:dyDescent="0.25">
      <c r="A538" s="90" t="s">
        <v>326</v>
      </c>
      <c r="B538" s="4">
        <v>340</v>
      </c>
      <c r="C538" s="5">
        <f>SUM(C539:C545)</f>
        <v>26.692850000000004</v>
      </c>
      <c r="D538" s="5">
        <f>SUM(D539:D545)</f>
        <v>30.63185</v>
      </c>
      <c r="E538" s="5">
        <f>SUM(E539:E545)</f>
        <v>29.517250000000001</v>
      </c>
      <c r="F538" s="5">
        <f>SUM(F539:F545)</f>
        <v>504.61084999999997</v>
      </c>
      <c r="G538" s="15">
        <f>F538/B538*100</f>
        <v>148.41495588235293</v>
      </c>
    </row>
    <row r="539" spans="1:7" ht="15.75" x14ac:dyDescent="0.25">
      <c r="A539" s="70" t="s">
        <v>327</v>
      </c>
      <c r="B539" s="60">
        <v>130</v>
      </c>
      <c r="C539" s="17">
        <v>21.57555</v>
      </c>
      <c r="D539" s="17">
        <v>22.234649999999998</v>
      </c>
      <c r="E539" s="91">
        <v>8.5051500000000004</v>
      </c>
      <c r="F539" s="10">
        <v>318.86925000000002</v>
      </c>
      <c r="G539" s="85"/>
    </row>
    <row r="540" spans="1:7" ht="15.75" x14ac:dyDescent="0.25">
      <c r="A540" s="70" t="s">
        <v>328</v>
      </c>
      <c r="B540" s="60">
        <v>130</v>
      </c>
      <c r="C540" s="10">
        <v>2.9262999999999999</v>
      </c>
      <c r="D540" s="10">
        <v>5.6471999999999998</v>
      </c>
      <c r="E540" s="86">
        <v>17.4941</v>
      </c>
      <c r="F540" s="10">
        <v>136.1516</v>
      </c>
      <c r="G540" s="87"/>
    </row>
    <row r="541" spans="1:7" ht="15.75" x14ac:dyDescent="0.25">
      <c r="A541" s="70" t="s">
        <v>329</v>
      </c>
      <c r="B541" s="60">
        <v>60</v>
      </c>
      <c r="C541" s="10">
        <v>1.68</v>
      </c>
      <c r="D541" s="10">
        <v>0.24</v>
      </c>
      <c r="E541" s="86">
        <v>2.4</v>
      </c>
      <c r="F541" s="10">
        <v>20.399999999999999</v>
      </c>
      <c r="G541" s="87"/>
    </row>
    <row r="542" spans="1:7" ht="15.75" x14ac:dyDescent="0.25">
      <c r="A542" s="70" t="s">
        <v>330</v>
      </c>
      <c r="B542" s="60">
        <v>10</v>
      </c>
      <c r="C542" s="10">
        <v>0.12</v>
      </c>
      <c r="D542" s="10">
        <v>0.01</v>
      </c>
      <c r="E542" s="86">
        <v>0.34</v>
      </c>
      <c r="F542" s="10">
        <v>2</v>
      </c>
      <c r="G542" s="87"/>
    </row>
    <row r="543" spans="1:7" ht="15.75" x14ac:dyDescent="0.25">
      <c r="A543" s="70" t="s">
        <v>156</v>
      </c>
      <c r="B543" s="60">
        <v>10</v>
      </c>
      <c r="C543" s="10">
        <v>0.37</v>
      </c>
      <c r="D543" s="10">
        <v>0.04</v>
      </c>
      <c r="E543" s="86">
        <v>0.76</v>
      </c>
      <c r="F543" s="10">
        <v>4.9000000000000004</v>
      </c>
      <c r="G543" s="87"/>
    </row>
    <row r="544" spans="1:7" ht="15.75" x14ac:dyDescent="0.25">
      <c r="A544" s="70" t="s">
        <v>15</v>
      </c>
      <c r="B544" s="60">
        <v>3</v>
      </c>
      <c r="C544" s="10">
        <v>2.1000000000000001E-2</v>
      </c>
      <c r="D544" s="10">
        <v>2.46</v>
      </c>
      <c r="E544" s="86">
        <v>1.7999999999999999E-2</v>
      </c>
      <c r="F544" s="10">
        <v>22.29</v>
      </c>
      <c r="G544" s="87"/>
    </row>
    <row r="545" spans="1:7" ht="47.25" x14ac:dyDescent="0.25">
      <c r="A545" s="70" t="s">
        <v>331</v>
      </c>
      <c r="B545" s="182"/>
      <c r="C545" s="183"/>
      <c r="D545" s="183"/>
      <c r="E545" s="183"/>
      <c r="F545" s="183"/>
      <c r="G545" s="184"/>
    </row>
    <row r="546" spans="1:7" s="149" customFormat="1" ht="18" customHeight="1" x14ac:dyDescent="0.25">
      <c r="A546" s="130" t="s">
        <v>566</v>
      </c>
      <c r="B546" s="131">
        <f>SUM(B547:B549)</f>
        <v>260</v>
      </c>
      <c r="C546" s="132">
        <f>SUM(C547:C549)</f>
        <v>30.742800000000003</v>
      </c>
      <c r="D546" s="132">
        <f>SUM(D547:D549)</f>
        <v>50.005599999999994</v>
      </c>
      <c r="E546" s="132">
        <f>SUM(E547:E549)</f>
        <v>11.3828</v>
      </c>
      <c r="F546" s="132">
        <f>SUM(F547:F549)</f>
        <v>619.52479999999991</v>
      </c>
      <c r="G546" s="133">
        <f>F546/B546*100</f>
        <v>238.2787692307692</v>
      </c>
    </row>
    <row r="547" spans="1:7" s="149" customFormat="1" ht="17.25" customHeight="1" x14ac:dyDescent="0.25">
      <c r="A547" s="59" t="s">
        <v>567</v>
      </c>
      <c r="B547" s="151">
        <v>140</v>
      </c>
      <c r="C547" s="134">
        <v>28.98</v>
      </c>
      <c r="D547" s="134">
        <v>48.16</v>
      </c>
      <c r="E547" s="135">
        <v>1.4</v>
      </c>
      <c r="F547" s="136">
        <v>554.4</v>
      </c>
      <c r="G547" s="137"/>
    </row>
    <row r="548" spans="1:7" s="149" customFormat="1" ht="15.75" customHeight="1" x14ac:dyDescent="0.25">
      <c r="A548" s="59" t="s">
        <v>568</v>
      </c>
      <c r="B548" s="151">
        <v>80</v>
      </c>
      <c r="C548" s="138">
        <v>0.86240000000000006</v>
      </c>
      <c r="D548" s="138">
        <v>0.10800000000000001</v>
      </c>
      <c r="E548" s="139">
        <v>4.6000000000000005</v>
      </c>
      <c r="F548" s="136">
        <v>23.231999999999999</v>
      </c>
      <c r="G548" s="140"/>
    </row>
    <row r="549" spans="1:7" s="149" customFormat="1" ht="16.5" customHeight="1" x14ac:dyDescent="0.25">
      <c r="A549" s="59" t="s">
        <v>323</v>
      </c>
      <c r="B549" s="151">
        <v>40</v>
      </c>
      <c r="C549" s="138">
        <v>0.90039999999999998</v>
      </c>
      <c r="D549" s="138">
        <v>1.7375999999999996</v>
      </c>
      <c r="E549" s="139">
        <v>5.3827999999999996</v>
      </c>
      <c r="F549" s="136">
        <v>41.892800000000001</v>
      </c>
      <c r="G549" s="140"/>
    </row>
    <row r="550" spans="1:7" s="149" customFormat="1" ht="68.25" customHeight="1" x14ac:dyDescent="0.25">
      <c r="A550" s="70" t="s">
        <v>569</v>
      </c>
      <c r="B550" s="144"/>
      <c r="C550" s="145"/>
      <c r="D550" s="145"/>
      <c r="E550" s="145"/>
      <c r="F550" s="136"/>
      <c r="G550" s="146"/>
    </row>
    <row r="551" spans="1:7" ht="15" customHeight="1" x14ac:dyDescent="0.25">
      <c r="A551" s="90" t="s">
        <v>538</v>
      </c>
      <c r="B551" s="4">
        <v>220</v>
      </c>
      <c r="C551" s="5">
        <f>SUM(C552:C554)</f>
        <v>21.367199999999997</v>
      </c>
      <c r="D551" s="5">
        <f>SUM(D552:D554)</f>
        <v>3.6538000000000004</v>
      </c>
      <c r="E551" s="5">
        <f>SUM(E552:E554)</f>
        <v>34.222999999999999</v>
      </c>
      <c r="F551" s="5">
        <f>SUM(F552:F554)</f>
        <v>456.75</v>
      </c>
      <c r="G551" s="15">
        <f>F551/B551*100</f>
        <v>207.61363636363637</v>
      </c>
    </row>
    <row r="552" spans="1:7" ht="15" customHeight="1" x14ac:dyDescent="0.25">
      <c r="A552" s="70" t="s">
        <v>539</v>
      </c>
      <c r="B552" s="128">
        <v>90</v>
      </c>
      <c r="C552" s="126">
        <v>14.7</v>
      </c>
      <c r="D552" s="126">
        <v>0.3</v>
      </c>
      <c r="E552" s="127">
        <v>0</v>
      </c>
      <c r="F552" s="98">
        <v>255</v>
      </c>
      <c r="G552" s="85"/>
    </row>
    <row r="553" spans="1:7" ht="15" customHeight="1" x14ac:dyDescent="0.25">
      <c r="A553" s="70" t="s">
        <v>540</v>
      </c>
      <c r="B553" s="128">
        <v>100</v>
      </c>
      <c r="C553" s="98">
        <v>4.92</v>
      </c>
      <c r="D553" s="98">
        <v>0.52</v>
      </c>
      <c r="E553" s="125">
        <v>25.76</v>
      </c>
      <c r="F553" s="98">
        <v>136.80000000000001</v>
      </c>
      <c r="G553" s="87"/>
    </row>
    <row r="554" spans="1:7" ht="15" customHeight="1" x14ac:dyDescent="0.25">
      <c r="A554" s="70" t="s">
        <v>332</v>
      </c>
      <c r="B554" s="128">
        <v>30</v>
      </c>
      <c r="C554" s="98">
        <v>1.7472000000000001</v>
      </c>
      <c r="D554" s="98">
        <v>2.8338000000000001</v>
      </c>
      <c r="E554" s="125">
        <v>8.4629999999999992</v>
      </c>
      <c r="F554" s="98">
        <v>64.95</v>
      </c>
      <c r="G554" s="87"/>
    </row>
    <row r="555" spans="1:7" s="149" customFormat="1" ht="21" customHeight="1" x14ac:dyDescent="0.25">
      <c r="A555" s="130" t="s">
        <v>577</v>
      </c>
      <c r="B555" s="131">
        <f>SUM(B556:B567)</f>
        <v>389</v>
      </c>
      <c r="C555" s="132">
        <f>SUM(C556:C568)</f>
        <v>27.432000000000002</v>
      </c>
      <c r="D555" s="132">
        <f>SUM(D556:D568)</f>
        <v>12.291999999999998</v>
      </c>
      <c r="E555" s="132">
        <f>SUM(E556:E568)</f>
        <v>65.488</v>
      </c>
      <c r="F555" s="132">
        <f>SUM(F556:F568)</f>
        <v>497.28999999999996</v>
      </c>
      <c r="G555" s="133">
        <f>F555/B555*100</f>
        <v>127.83804627249356</v>
      </c>
    </row>
    <row r="556" spans="1:7" s="149" customFormat="1" ht="15.75" customHeight="1" x14ac:dyDescent="0.25">
      <c r="A556" s="59" t="s">
        <v>292</v>
      </c>
      <c r="B556" s="151">
        <v>80</v>
      </c>
      <c r="C556" s="134">
        <v>17.760000000000002</v>
      </c>
      <c r="D556" s="134">
        <v>5.68</v>
      </c>
      <c r="E556" s="135">
        <v>0</v>
      </c>
      <c r="F556" s="136">
        <v>126.4</v>
      </c>
      <c r="G556" s="137"/>
    </row>
    <row r="557" spans="1:7" s="149" customFormat="1" ht="15.75" customHeight="1" x14ac:dyDescent="0.25">
      <c r="A557" s="59" t="s">
        <v>603</v>
      </c>
      <c r="B557" s="151">
        <v>140</v>
      </c>
      <c r="C557" s="138">
        <v>4.2</v>
      </c>
      <c r="D557" s="138">
        <v>0</v>
      </c>
      <c r="E557" s="139">
        <v>49</v>
      </c>
      <c r="F557" s="136">
        <v>222.60000000000002</v>
      </c>
      <c r="G557" s="140"/>
    </row>
    <row r="558" spans="1:7" s="149" customFormat="1" ht="18.75" customHeight="1" x14ac:dyDescent="0.25">
      <c r="A558" s="59" t="s">
        <v>578</v>
      </c>
      <c r="B558" s="151">
        <v>50</v>
      </c>
      <c r="C558" s="138">
        <v>0.65</v>
      </c>
      <c r="D558" s="138">
        <v>0.05</v>
      </c>
      <c r="E558" s="139">
        <v>2.65</v>
      </c>
      <c r="F558" s="136">
        <v>13</v>
      </c>
      <c r="G558" s="140"/>
    </row>
    <row r="559" spans="1:7" s="149" customFormat="1" ht="18" customHeight="1" x14ac:dyDescent="0.25">
      <c r="A559" s="59" t="s">
        <v>223</v>
      </c>
      <c r="B559" s="151">
        <v>30</v>
      </c>
      <c r="C559" s="138">
        <v>0.9</v>
      </c>
      <c r="D559" s="138">
        <v>0.1</v>
      </c>
      <c r="E559" s="139">
        <v>2.1</v>
      </c>
      <c r="F559" s="136">
        <v>13</v>
      </c>
      <c r="G559" s="140"/>
    </row>
    <row r="560" spans="1:7" s="149" customFormat="1" ht="15.75" customHeight="1" x14ac:dyDescent="0.25">
      <c r="A560" s="59" t="s">
        <v>132</v>
      </c>
      <c r="B560" s="151">
        <v>20</v>
      </c>
      <c r="C560" s="138">
        <v>0.5</v>
      </c>
      <c r="D560" s="138">
        <v>0.02</v>
      </c>
      <c r="E560" s="139">
        <v>0.7400000000000001</v>
      </c>
      <c r="F560" s="136">
        <v>4.4000000000000004</v>
      </c>
      <c r="G560" s="140"/>
    </row>
    <row r="561" spans="1:7" s="149" customFormat="1" ht="18" customHeight="1" x14ac:dyDescent="0.25">
      <c r="A561" s="59" t="s">
        <v>293</v>
      </c>
      <c r="B561" s="151">
        <v>20</v>
      </c>
      <c r="C561" s="138">
        <v>0.13</v>
      </c>
      <c r="D561" s="138">
        <v>0.01</v>
      </c>
      <c r="E561" s="139">
        <v>0.53</v>
      </c>
      <c r="F561" s="136">
        <v>2.6</v>
      </c>
      <c r="G561" s="140"/>
    </row>
    <row r="562" spans="1:7" s="149" customFormat="1" ht="14.25" customHeight="1" x14ac:dyDescent="0.25">
      <c r="A562" s="59" t="s">
        <v>579</v>
      </c>
      <c r="B562" s="151">
        <v>10</v>
      </c>
      <c r="C562" s="138">
        <v>2.6500000000000004</v>
      </c>
      <c r="D562" s="138">
        <v>4.6500000000000004</v>
      </c>
      <c r="E562" s="139">
        <v>1.1000000000000001</v>
      </c>
      <c r="F562" s="136">
        <v>56.900000000000006</v>
      </c>
      <c r="G562" s="140"/>
    </row>
    <row r="563" spans="1:7" s="149" customFormat="1" ht="15.75" customHeight="1" x14ac:dyDescent="0.25">
      <c r="A563" s="59" t="s">
        <v>72</v>
      </c>
      <c r="B563" s="151">
        <v>10</v>
      </c>
      <c r="C563" s="138">
        <v>0.12</v>
      </c>
      <c r="D563" s="138">
        <v>0.13999999999999999</v>
      </c>
      <c r="E563" s="139">
        <v>3.27</v>
      </c>
      <c r="F563" s="136">
        <v>14.8</v>
      </c>
      <c r="G563" s="140"/>
    </row>
    <row r="564" spans="1:7" s="149" customFormat="1" ht="14.25" customHeight="1" x14ac:dyDescent="0.25">
      <c r="A564" s="59" t="s">
        <v>580</v>
      </c>
      <c r="B564" s="151">
        <v>10</v>
      </c>
      <c r="C564" s="138">
        <v>0.35000000000000003</v>
      </c>
      <c r="D564" s="138">
        <v>0</v>
      </c>
      <c r="E564" s="139">
        <v>1.1000000000000001</v>
      </c>
      <c r="F564" s="136">
        <v>6</v>
      </c>
      <c r="G564" s="140"/>
    </row>
    <row r="565" spans="1:7" s="149" customFormat="1" ht="15.75" customHeight="1" x14ac:dyDescent="0.25">
      <c r="A565" s="59" t="s">
        <v>110</v>
      </c>
      <c r="B565" s="151">
        <v>10</v>
      </c>
      <c r="C565" s="138">
        <v>0.01</v>
      </c>
      <c r="D565" s="138">
        <v>0.02</v>
      </c>
      <c r="E565" s="139">
        <v>4</v>
      </c>
      <c r="F565" s="136">
        <v>17.7</v>
      </c>
      <c r="G565" s="140"/>
    </row>
    <row r="566" spans="1:7" s="149" customFormat="1" ht="15.75" customHeight="1" x14ac:dyDescent="0.25">
      <c r="A566" s="59" t="s">
        <v>250</v>
      </c>
      <c r="B566" s="151">
        <v>5</v>
      </c>
      <c r="C566" s="138">
        <v>6.9999999999999993E-2</v>
      </c>
      <c r="D566" s="138">
        <v>0.01</v>
      </c>
      <c r="E566" s="139">
        <v>0.40999999999999992</v>
      </c>
      <c r="F566" s="136">
        <v>2.0499999999999998</v>
      </c>
      <c r="G566" s="140"/>
    </row>
    <row r="567" spans="1:7" s="149" customFormat="1" ht="15.75" customHeight="1" x14ac:dyDescent="0.25">
      <c r="A567" s="59" t="s">
        <v>251</v>
      </c>
      <c r="B567" s="151">
        <v>4</v>
      </c>
      <c r="C567" s="138">
        <v>9.1999999999999998E-2</v>
      </c>
      <c r="D567" s="138">
        <v>1.6119999999999999</v>
      </c>
      <c r="E567" s="139">
        <v>0.58799999999999997</v>
      </c>
      <c r="F567" s="136">
        <v>17.84</v>
      </c>
      <c r="G567" s="140"/>
    </row>
    <row r="568" spans="1:7" s="149" customFormat="1" ht="16.5" customHeight="1" x14ac:dyDescent="0.25">
      <c r="A568" s="70" t="s">
        <v>581</v>
      </c>
      <c r="B568" s="151"/>
      <c r="C568" s="138"/>
      <c r="D568" s="138"/>
      <c r="E568" s="139"/>
      <c r="F568" s="136"/>
      <c r="G568" s="140"/>
    </row>
    <row r="569" spans="1:7" s="149" customFormat="1" ht="23.25" customHeight="1" x14ac:dyDescent="0.25">
      <c r="A569" s="130" t="s">
        <v>582</v>
      </c>
      <c r="B569" s="131">
        <f>SUM(B570:B573)</f>
        <v>321</v>
      </c>
      <c r="C569" s="132">
        <f>SUM(C570:C574)</f>
        <v>22.578102399999999</v>
      </c>
      <c r="D569" s="132">
        <f>SUM(D570:D574)</f>
        <v>47.689684799999995</v>
      </c>
      <c r="E569" s="132">
        <f>SUM(E570:E574)</f>
        <v>12.5491952</v>
      </c>
      <c r="F569" s="132">
        <f>SUM(F570:F574)</f>
        <v>566.15445599999998</v>
      </c>
      <c r="G569" s="133">
        <f>F569/B569*100</f>
        <v>176.37210467289719</v>
      </c>
    </row>
    <row r="570" spans="1:7" s="149" customFormat="1" ht="18" customHeight="1" x14ac:dyDescent="0.25">
      <c r="A570" s="59" t="s">
        <v>583</v>
      </c>
      <c r="B570" s="151">
        <v>200</v>
      </c>
      <c r="C570" s="134">
        <v>20.7</v>
      </c>
      <c r="D570" s="134">
        <v>34.4</v>
      </c>
      <c r="E570" s="135">
        <v>1</v>
      </c>
      <c r="F570" s="136">
        <v>396</v>
      </c>
      <c r="G570" s="137"/>
    </row>
    <row r="571" spans="1:7" s="149" customFormat="1" ht="16.5" customHeight="1" x14ac:dyDescent="0.25">
      <c r="A571" s="59" t="s">
        <v>584</v>
      </c>
      <c r="B571" s="151">
        <v>80</v>
      </c>
      <c r="C571" s="138">
        <v>0.46736000000000005</v>
      </c>
      <c r="D571" s="138">
        <v>7.6231200000000001</v>
      </c>
      <c r="E571" s="139">
        <v>2.8501599999999998</v>
      </c>
      <c r="F571" s="136">
        <v>84.879199999999997</v>
      </c>
      <c r="G571" s="140"/>
    </row>
    <row r="572" spans="1:7" s="149" customFormat="1" ht="15" customHeight="1" x14ac:dyDescent="0.25">
      <c r="A572" s="59" t="s">
        <v>585</v>
      </c>
      <c r="B572" s="151">
        <v>40</v>
      </c>
      <c r="C572" s="138">
        <v>1.4047423999999999</v>
      </c>
      <c r="D572" s="138">
        <v>5.6205647999999995</v>
      </c>
      <c r="E572" s="139">
        <v>8.6550351999999986</v>
      </c>
      <c r="F572" s="136">
        <v>84.650256000000013</v>
      </c>
      <c r="G572" s="140"/>
    </row>
    <row r="573" spans="1:7" s="149" customFormat="1" ht="19.5" customHeight="1" x14ac:dyDescent="0.25">
      <c r="A573" s="59" t="s">
        <v>296</v>
      </c>
      <c r="B573" s="151">
        <v>1</v>
      </c>
      <c r="C573" s="138">
        <v>6.0000000000000001E-3</v>
      </c>
      <c r="D573" s="138">
        <v>4.6000000000000006E-2</v>
      </c>
      <c r="E573" s="139">
        <v>4.4000000000000004E-2</v>
      </c>
      <c r="F573" s="136">
        <v>0.625</v>
      </c>
      <c r="G573" s="140"/>
    </row>
    <row r="574" spans="1:7" s="149" customFormat="1" ht="73.5" customHeight="1" x14ac:dyDescent="0.25">
      <c r="A574" s="70" t="s">
        <v>586</v>
      </c>
      <c r="B574" s="151"/>
      <c r="C574" s="138"/>
      <c r="D574" s="138"/>
      <c r="E574" s="139"/>
      <c r="F574" s="136"/>
      <c r="G574" s="140"/>
    </row>
    <row r="575" spans="1:7" s="129" customFormat="1" ht="19.5" customHeight="1" x14ac:dyDescent="0.25">
      <c r="A575" s="130" t="s">
        <v>558</v>
      </c>
      <c r="B575" s="131">
        <v>230</v>
      </c>
      <c r="C575" s="132">
        <f>SUM(C576:C587)</f>
        <v>27.734519999999996</v>
      </c>
      <c r="D575" s="132">
        <f>SUM(D576:D587)</f>
        <v>17.18404</v>
      </c>
      <c r="E575" s="132">
        <f>SUM(E576:E587)</f>
        <v>37.209960000000002</v>
      </c>
      <c r="F575" s="132">
        <f>SUM(F576:F587)</f>
        <v>408.17380000000003</v>
      </c>
      <c r="G575" s="133">
        <f>F575/B575*100</f>
        <v>177.46686956521739</v>
      </c>
    </row>
    <row r="576" spans="1:7" s="129" customFormat="1" ht="19.5" customHeight="1" x14ac:dyDescent="0.25">
      <c r="A576" s="70" t="s">
        <v>306</v>
      </c>
      <c r="B576" s="148">
        <v>80</v>
      </c>
      <c r="C576" s="141">
        <v>17.36</v>
      </c>
      <c r="D576" s="141">
        <v>6.4</v>
      </c>
      <c r="E576" s="142">
        <v>0.72000000000000008</v>
      </c>
      <c r="F576" s="143">
        <v>130</v>
      </c>
      <c r="G576" s="137"/>
    </row>
    <row r="577" spans="1:7" s="129" customFormat="1" ht="19.5" customHeight="1" x14ac:dyDescent="0.25">
      <c r="A577" s="70" t="s">
        <v>544</v>
      </c>
      <c r="B577" s="148">
        <v>40</v>
      </c>
      <c r="C577" s="138">
        <v>2.2115200000000002</v>
      </c>
      <c r="D577" s="138">
        <v>2.7170399999999995</v>
      </c>
      <c r="E577" s="139">
        <v>2.62296</v>
      </c>
      <c r="F577" s="136">
        <v>33.848799999999997</v>
      </c>
      <c r="G577" s="140"/>
    </row>
    <row r="578" spans="1:7" s="129" customFormat="1" ht="19.5" customHeight="1" x14ac:dyDescent="0.25">
      <c r="A578" s="70" t="s">
        <v>545</v>
      </c>
      <c r="B578" s="148">
        <v>30</v>
      </c>
      <c r="C578" s="138">
        <v>3.96</v>
      </c>
      <c r="D578" s="138">
        <v>0.63</v>
      </c>
      <c r="E578" s="139">
        <v>25.8</v>
      </c>
      <c r="F578" s="136">
        <v>124.71000000000001</v>
      </c>
      <c r="G578" s="140"/>
    </row>
    <row r="579" spans="1:7" s="129" customFormat="1" ht="19.5" customHeight="1" x14ac:dyDescent="0.25">
      <c r="A579" s="70" t="s">
        <v>543</v>
      </c>
      <c r="B579" s="148">
        <v>20</v>
      </c>
      <c r="C579" s="138">
        <v>0.38</v>
      </c>
      <c r="D579" s="138">
        <v>0.11000000000000001</v>
      </c>
      <c r="E579" s="139">
        <v>0.57000000000000006</v>
      </c>
      <c r="F579" s="136">
        <v>3.85</v>
      </c>
      <c r="G579" s="140"/>
    </row>
    <row r="580" spans="1:7" s="129" customFormat="1" ht="19.5" customHeight="1" x14ac:dyDescent="0.25">
      <c r="A580" s="70" t="s">
        <v>546</v>
      </c>
      <c r="B580" s="148">
        <v>10</v>
      </c>
      <c r="C580" s="138">
        <v>0.04</v>
      </c>
      <c r="D580" s="138">
        <v>0.04</v>
      </c>
      <c r="E580" s="139">
        <v>0.95</v>
      </c>
      <c r="F580" s="136">
        <v>4.2</v>
      </c>
      <c r="G580" s="140"/>
    </row>
    <row r="581" spans="1:7" s="129" customFormat="1" ht="19.5" customHeight="1" x14ac:dyDescent="0.25">
      <c r="A581" s="70" t="s">
        <v>64</v>
      </c>
      <c r="B581" s="148">
        <v>5</v>
      </c>
      <c r="C581" s="138">
        <v>1.6500000000000001</v>
      </c>
      <c r="D581" s="138">
        <v>1.25</v>
      </c>
      <c r="E581" s="139">
        <v>0.16</v>
      </c>
      <c r="F581" s="136">
        <v>17.849999999999998</v>
      </c>
      <c r="G581" s="140"/>
    </row>
    <row r="582" spans="1:7" s="129" customFormat="1" ht="19.5" customHeight="1" x14ac:dyDescent="0.25">
      <c r="A582" s="70" t="s">
        <v>547</v>
      </c>
      <c r="B582" s="148">
        <v>5</v>
      </c>
      <c r="C582" s="138">
        <v>4.5000000000000005E-2</v>
      </c>
      <c r="D582" s="138">
        <v>5.0000000000000001E-3</v>
      </c>
      <c r="E582" s="139">
        <v>0.10500000000000001</v>
      </c>
      <c r="F582" s="136">
        <v>0.65</v>
      </c>
      <c r="G582" s="140"/>
    </row>
    <row r="583" spans="1:7" s="129" customFormat="1" ht="19.5" customHeight="1" x14ac:dyDescent="0.25">
      <c r="A583" s="70" t="s">
        <v>111</v>
      </c>
      <c r="B583" s="148">
        <v>7</v>
      </c>
      <c r="C583" s="138">
        <v>0.72100000000000009</v>
      </c>
      <c r="D583" s="138">
        <v>7.7000000000000013E-2</v>
      </c>
      <c r="E583" s="139">
        <v>4.9420000000000002</v>
      </c>
      <c r="F583" s="136">
        <v>23.38</v>
      </c>
      <c r="G583" s="140"/>
    </row>
    <row r="584" spans="1:7" s="129" customFormat="1" ht="19.5" customHeight="1" x14ac:dyDescent="0.25">
      <c r="A584" s="70" t="s">
        <v>22</v>
      </c>
      <c r="B584" s="148">
        <v>8</v>
      </c>
      <c r="C584" s="138">
        <v>1.016</v>
      </c>
      <c r="D584" s="138">
        <v>0.92</v>
      </c>
      <c r="E584" s="139">
        <v>5.5999999999999994E-2</v>
      </c>
      <c r="F584" s="136">
        <v>12.56</v>
      </c>
      <c r="G584" s="140"/>
    </row>
    <row r="585" spans="1:7" s="129" customFormat="1" ht="19.5" customHeight="1" x14ac:dyDescent="0.25">
      <c r="A585" s="70" t="s">
        <v>23</v>
      </c>
      <c r="B585" s="148">
        <v>5</v>
      </c>
      <c r="C585" s="138">
        <v>0</v>
      </c>
      <c r="D585" s="138">
        <v>4.995000000000001</v>
      </c>
      <c r="E585" s="139">
        <v>0</v>
      </c>
      <c r="F585" s="136">
        <v>44.95</v>
      </c>
      <c r="G585" s="140"/>
    </row>
    <row r="586" spans="1:7" s="129" customFormat="1" ht="19.5" customHeight="1" x14ac:dyDescent="0.25">
      <c r="A586" s="70" t="s">
        <v>476</v>
      </c>
      <c r="B586" s="148">
        <v>3</v>
      </c>
      <c r="C586" s="138">
        <v>7.2000000000000008E-2</v>
      </c>
      <c r="D586" s="138">
        <v>9.0000000000000011E-3</v>
      </c>
      <c r="E586" s="139">
        <v>0.35400000000000004</v>
      </c>
      <c r="F586" s="136">
        <v>1.6350000000000002</v>
      </c>
      <c r="G586" s="140"/>
    </row>
    <row r="587" spans="1:7" s="129" customFormat="1" ht="19.5" customHeight="1" x14ac:dyDescent="0.25">
      <c r="A587" s="70" t="s">
        <v>316</v>
      </c>
      <c r="B587" s="148">
        <v>31</v>
      </c>
      <c r="C587" s="138">
        <v>0.27900000000000003</v>
      </c>
      <c r="D587" s="138">
        <v>3.1E-2</v>
      </c>
      <c r="E587" s="139">
        <v>0.92999999999999994</v>
      </c>
      <c r="F587" s="136">
        <v>10.540000000000001</v>
      </c>
      <c r="G587" s="140"/>
    </row>
    <row r="588" spans="1:7" ht="21" x14ac:dyDescent="0.25">
      <c r="A588" s="174" t="s">
        <v>333</v>
      </c>
      <c r="B588" s="175"/>
      <c r="C588" s="175"/>
      <c r="D588" s="175"/>
      <c r="E588" s="175"/>
      <c r="F588" s="175"/>
      <c r="G588" s="176"/>
    </row>
    <row r="589" spans="1:7" ht="15.75" x14ac:dyDescent="0.25">
      <c r="A589" s="3" t="s">
        <v>334</v>
      </c>
      <c r="B589" s="51">
        <v>205</v>
      </c>
      <c r="C589" s="51">
        <v>30.06</v>
      </c>
      <c r="D589" s="51">
        <v>38.880000000000003</v>
      </c>
      <c r="E589" s="51">
        <v>0.87</v>
      </c>
      <c r="F589" s="51">
        <v>472.81</v>
      </c>
      <c r="G589" s="51">
        <v>262.67</v>
      </c>
    </row>
    <row r="590" spans="1:7" ht="15.75" x14ac:dyDescent="0.25">
      <c r="A590" s="7" t="s">
        <v>23</v>
      </c>
      <c r="B590" s="20"/>
      <c r="C590" s="9">
        <v>0</v>
      </c>
      <c r="D590" s="9">
        <v>2</v>
      </c>
      <c r="E590" s="9">
        <v>0</v>
      </c>
      <c r="F590" s="9">
        <v>18</v>
      </c>
      <c r="G590" s="9"/>
    </row>
    <row r="591" spans="1:7" ht="15.75" x14ac:dyDescent="0.25">
      <c r="A591" s="7" t="s">
        <v>228</v>
      </c>
      <c r="B591" s="20"/>
      <c r="C591" s="9">
        <v>0.03</v>
      </c>
      <c r="D591" s="9">
        <v>0.06</v>
      </c>
      <c r="E591" s="9">
        <v>0.21</v>
      </c>
      <c r="F591" s="9">
        <v>1.31</v>
      </c>
      <c r="G591" s="9"/>
    </row>
    <row r="592" spans="1:7" ht="15.75" x14ac:dyDescent="0.25">
      <c r="A592" s="7" t="s">
        <v>41</v>
      </c>
      <c r="B592" s="20"/>
      <c r="C592" s="9">
        <v>0.15</v>
      </c>
      <c r="D592" s="9">
        <v>0.03</v>
      </c>
      <c r="E592" s="9">
        <v>0.42</v>
      </c>
      <c r="F592" s="9">
        <v>2.52</v>
      </c>
      <c r="G592" s="9"/>
    </row>
    <row r="593" spans="1:7" ht="15.75" x14ac:dyDescent="0.25">
      <c r="A593" s="7" t="s">
        <v>18</v>
      </c>
      <c r="B593" s="20"/>
      <c r="C593" s="9">
        <v>0</v>
      </c>
      <c r="D593" s="9">
        <v>0</v>
      </c>
      <c r="E593" s="9">
        <v>0</v>
      </c>
      <c r="F593" s="9">
        <v>0</v>
      </c>
      <c r="G593" s="9"/>
    </row>
    <row r="594" spans="1:7" ht="15.75" x14ac:dyDescent="0.25">
      <c r="A594" s="7" t="s">
        <v>335</v>
      </c>
      <c r="B594" s="20"/>
      <c r="C594" s="9">
        <v>0.12</v>
      </c>
      <c r="D594" s="9">
        <v>11.19</v>
      </c>
      <c r="E594" s="9">
        <v>0.24</v>
      </c>
      <c r="F594" s="9">
        <v>102.18</v>
      </c>
      <c r="G594" s="9"/>
    </row>
    <row r="595" spans="1:7" ht="15.75" x14ac:dyDescent="0.25">
      <c r="A595" s="7" t="s">
        <v>336</v>
      </c>
      <c r="B595" s="20"/>
      <c r="C595" s="9">
        <v>29.76</v>
      </c>
      <c r="D595" s="9">
        <v>25.6</v>
      </c>
      <c r="E595" s="9">
        <v>0</v>
      </c>
      <c r="F595" s="9">
        <v>348.8</v>
      </c>
      <c r="G595" s="9"/>
    </row>
    <row r="596" spans="1:7" ht="15.75" x14ac:dyDescent="0.25">
      <c r="A596" s="3" t="s">
        <v>337</v>
      </c>
      <c r="B596" s="51">
        <v>100</v>
      </c>
      <c r="C596" s="51">
        <v>47.97</v>
      </c>
      <c r="D596" s="51">
        <v>52.03</v>
      </c>
      <c r="E596" s="51">
        <v>0</v>
      </c>
      <c r="F596" s="51">
        <v>253</v>
      </c>
      <c r="G596" s="51">
        <v>253</v>
      </c>
    </row>
    <row r="597" spans="1:7" ht="15.75" x14ac:dyDescent="0.25">
      <c r="A597" s="49" t="s">
        <v>338</v>
      </c>
      <c r="B597" s="9"/>
      <c r="C597" s="9">
        <v>47.97</v>
      </c>
      <c r="D597" s="9">
        <v>52.03</v>
      </c>
      <c r="E597" s="9">
        <v>0</v>
      </c>
      <c r="F597" s="9">
        <v>253</v>
      </c>
      <c r="G597" s="9"/>
    </row>
    <row r="598" spans="1:7" ht="15.75" x14ac:dyDescent="0.25">
      <c r="A598" s="96"/>
      <c r="B598" s="51">
        <v>40</v>
      </c>
      <c r="C598" s="51">
        <f>SUM(C599:C604)</f>
        <v>0.81</v>
      </c>
      <c r="D598" s="51">
        <f>SUM(D599:D604)</f>
        <v>38.739999999999995</v>
      </c>
      <c r="E598" s="51">
        <f>SUM(E599:E604)</f>
        <v>3.81</v>
      </c>
      <c r="F598" s="51">
        <f>SUM(F599:F604)</f>
        <v>367.22</v>
      </c>
      <c r="G598" s="51">
        <v>918.05</v>
      </c>
    </row>
    <row r="599" spans="1:7" ht="15.75" x14ac:dyDescent="0.25">
      <c r="A599" s="49" t="s">
        <v>23</v>
      </c>
      <c r="B599" s="9"/>
      <c r="C599" s="9">
        <v>0</v>
      </c>
      <c r="D599" s="9">
        <v>19.98</v>
      </c>
      <c r="E599" s="9">
        <v>0</v>
      </c>
      <c r="F599" s="9">
        <v>180</v>
      </c>
      <c r="G599" s="9"/>
    </row>
    <row r="600" spans="1:7" ht="15.75" x14ac:dyDescent="0.25">
      <c r="A600" s="49" t="s">
        <v>339</v>
      </c>
      <c r="B600" s="9"/>
      <c r="C600" s="9">
        <v>0.3</v>
      </c>
      <c r="D600" s="9">
        <v>0.06</v>
      </c>
      <c r="E600" s="9">
        <v>2.4300000000000002</v>
      </c>
      <c r="F600" s="9">
        <v>11.4</v>
      </c>
      <c r="G600" s="9"/>
    </row>
    <row r="601" spans="1:7" ht="15.75" x14ac:dyDescent="0.25">
      <c r="A601" s="49" t="s">
        <v>67</v>
      </c>
      <c r="B601" s="9"/>
      <c r="C601" s="9">
        <v>0.16</v>
      </c>
      <c r="D601" s="9">
        <v>0.02</v>
      </c>
      <c r="E601" s="9">
        <v>0.56000000000000005</v>
      </c>
      <c r="F601" s="9">
        <v>3</v>
      </c>
      <c r="G601" s="9"/>
    </row>
    <row r="602" spans="1:7" ht="15.75" x14ac:dyDescent="0.25">
      <c r="A602" s="49" t="s">
        <v>41</v>
      </c>
      <c r="B602" s="9"/>
      <c r="C602" s="9">
        <v>0.15</v>
      </c>
      <c r="D602" s="9">
        <v>0.03</v>
      </c>
      <c r="E602" s="9">
        <v>0.42</v>
      </c>
      <c r="F602" s="9">
        <v>2.52</v>
      </c>
      <c r="G602" s="9"/>
    </row>
    <row r="603" spans="1:7" ht="15.75" x14ac:dyDescent="0.25">
      <c r="A603" s="49" t="s">
        <v>340</v>
      </c>
      <c r="B603" s="9"/>
      <c r="C603" s="9">
        <v>0</v>
      </c>
      <c r="D603" s="9">
        <v>0</v>
      </c>
      <c r="E603" s="9">
        <v>0</v>
      </c>
      <c r="F603" s="9">
        <v>0</v>
      </c>
      <c r="G603" s="9"/>
    </row>
    <row r="604" spans="1:7" ht="15.75" x14ac:dyDescent="0.25">
      <c r="A604" s="49" t="s">
        <v>335</v>
      </c>
      <c r="B604" s="9"/>
      <c r="C604" s="9">
        <v>0.2</v>
      </c>
      <c r="D604" s="9">
        <v>18.649999999999999</v>
      </c>
      <c r="E604" s="9">
        <v>0.4</v>
      </c>
      <c r="F604" s="9">
        <v>170.3</v>
      </c>
      <c r="G604" s="9"/>
    </row>
    <row r="605" spans="1:7" ht="15.75" x14ac:dyDescent="0.25">
      <c r="A605" s="3" t="s">
        <v>341</v>
      </c>
      <c r="B605" s="51">
        <v>100</v>
      </c>
      <c r="C605" s="51">
        <v>16</v>
      </c>
      <c r="D605" s="51">
        <v>18</v>
      </c>
      <c r="E605" s="51">
        <v>0</v>
      </c>
      <c r="F605" s="51">
        <v>230</v>
      </c>
      <c r="G605" s="51">
        <v>230</v>
      </c>
    </row>
    <row r="606" spans="1:7" ht="15.75" x14ac:dyDescent="0.25">
      <c r="A606" s="49" t="s">
        <v>342</v>
      </c>
      <c r="B606" s="9"/>
      <c r="C606" s="9">
        <v>16</v>
      </c>
      <c r="D606" s="9">
        <v>18</v>
      </c>
      <c r="E606" s="9">
        <v>0</v>
      </c>
      <c r="F606" s="9">
        <v>230</v>
      </c>
      <c r="G606" s="9"/>
    </row>
    <row r="607" spans="1:7" ht="15.75" x14ac:dyDescent="0.25">
      <c r="A607" s="96"/>
      <c r="B607" s="51">
        <v>40</v>
      </c>
      <c r="C607" s="51">
        <f>SUM(C608:C613)</f>
        <v>0.81</v>
      </c>
      <c r="D607" s="51">
        <f>SUM(D608:D613)</f>
        <v>38.739999999999995</v>
      </c>
      <c r="E607" s="51">
        <f>SUM(E608:E613)</f>
        <v>3.81</v>
      </c>
      <c r="F607" s="51">
        <f>SUM(F608:F613)</f>
        <v>367.22</v>
      </c>
      <c r="G607" s="51">
        <v>918.05</v>
      </c>
    </row>
    <row r="608" spans="1:7" ht="15.75" x14ac:dyDescent="0.25">
      <c r="A608" s="49" t="s">
        <v>23</v>
      </c>
      <c r="B608" s="9"/>
      <c r="C608" s="9">
        <v>0</v>
      </c>
      <c r="D608" s="9">
        <v>19.98</v>
      </c>
      <c r="E608" s="9">
        <v>0</v>
      </c>
      <c r="F608" s="9">
        <v>180</v>
      </c>
      <c r="G608" s="9"/>
    </row>
    <row r="609" spans="1:7" ht="15.75" x14ac:dyDescent="0.25">
      <c r="A609" s="49" t="s">
        <v>339</v>
      </c>
      <c r="B609" s="9"/>
      <c r="C609" s="9">
        <v>0.3</v>
      </c>
      <c r="D609" s="9">
        <v>0.06</v>
      </c>
      <c r="E609" s="9">
        <v>2.4300000000000002</v>
      </c>
      <c r="F609" s="9">
        <v>11.4</v>
      </c>
      <c r="G609" s="9"/>
    </row>
    <row r="610" spans="1:7" ht="15.75" x14ac:dyDescent="0.25">
      <c r="A610" s="49" t="s">
        <v>67</v>
      </c>
      <c r="B610" s="9"/>
      <c r="C610" s="9">
        <v>0.16</v>
      </c>
      <c r="D610" s="9">
        <v>0.02</v>
      </c>
      <c r="E610" s="9">
        <v>0.56000000000000005</v>
      </c>
      <c r="F610" s="9">
        <v>3</v>
      </c>
      <c r="G610" s="9"/>
    </row>
    <row r="611" spans="1:7" ht="15.75" x14ac:dyDescent="0.25">
      <c r="A611" s="49" t="s">
        <v>41</v>
      </c>
      <c r="B611" s="9"/>
      <c r="C611" s="9">
        <v>0.15</v>
      </c>
      <c r="D611" s="9">
        <v>0.03</v>
      </c>
      <c r="E611" s="9">
        <v>0.42</v>
      </c>
      <c r="F611" s="9">
        <v>2.52</v>
      </c>
      <c r="G611" s="9"/>
    </row>
    <row r="612" spans="1:7" ht="15.75" x14ac:dyDescent="0.25">
      <c r="A612" s="49" t="s">
        <v>340</v>
      </c>
      <c r="B612" s="9"/>
      <c r="C612" s="9">
        <v>0</v>
      </c>
      <c r="D612" s="9">
        <v>0</v>
      </c>
      <c r="E612" s="9">
        <v>0</v>
      </c>
      <c r="F612" s="9">
        <v>0</v>
      </c>
      <c r="G612" s="9"/>
    </row>
    <row r="613" spans="1:7" ht="15.75" x14ac:dyDescent="0.25">
      <c r="A613" s="49" t="s">
        <v>335</v>
      </c>
      <c r="B613" s="9"/>
      <c r="C613" s="9">
        <v>0.2</v>
      </c>
      <c r="D613" s="9">
        <v>18.649999999999999</v>
      </c>
      <c r="E613" s="9">
        <v>0.4</v>
      </c>
      <c r="F613" s="9">
        <v>170.3</v>
      </c>
      <c r="G613" s="9"/>
    </row>
    <row r="614" spans="1:7" ht="15.75" x14ac:dyDescent="0.25">
      <c r="A614" s="3" t="s">
        <v>343</v>
      </c>
      <c r="B614" s="51">
        <v>295</v>
      </c>
      <c r="C614" s="51">
        <f>SUM(C615:C621)</f>
        <v>44.01</v>
      </c>
      <c r="D614" s="51">
        <f>SUM(D615:D621)</f>
        <v>87.34</v>
      </c>
      <c r="E614" s="51">
        <f>SUM(E615:E621)</f>
        <v>3.81</v>
      </c>
      <c r="F614" s="51">
        <f>SUM(F615:F621)</f>
        <v>988.22</v>
      </c>
      <c r="G614" s="51">
        <v>380.08</v>
      </c>
    </row>
    <row r="615" spans="1:7" ht="15.75" x14ac:dyDescent="0.25">
      <c r="A615" s="49" t="s">
        <v>344</v>
      </c>
      <c r="B615" s="9"/>
      <c r="C615" s="9">
        <v>43.2</v>
      </c>
      <c r="D615" s="9">
        <v>48.6</v>
      </c>
      <c r="E615" s="9">
        <v>0</v>
      </c>
      <c r="F615" s="9">
        <v>621</v>
      </c>
      <c r="G615" s="9"/>
    </row>
    <row r="616" spans="1:7" ht="15.75" x14ac:dyDescent="0.25">
      <c r="A616" s="49" t="s">
        <v>23</v>
      </c>
      <c r="B616" s="9"/>
      <c r="C616" s="9">
        <v>0</v>
      </c>
      <c r="D616" s="9">
        <v>19.98</v>
      </c>
      <c r="E616" s="9">
        <v>0</v>
      </c>
      <c r="F616" s="9">
        <v>180</v>
      </c>
      <c r="G616" s="9"/>
    </row>
    <row r="617" spans="1:7" ht="15.75" x14ac:dyDescent="0.25">
      <c r="A617" s="49" t="s">
        <v>339</v>
      </c>
      <c r="B617" s="9"/>
      <c r="C617" s="9">
        <v>0.3</v>
      </c>
      <c r="D617" s="9">
        <v>0.06</v>
      </c>
      <c r="E617" s="9">
        <v>2.4300000000000002</v>
      </c>
      <c r="F617" s="9">
        <v>11.4</v>
      </c>
      <c r="G617" s="9"/>
    </row>
    <row r="618" spans="1:7" ht="15.75" x14ac:dyDescent="0.25">
      <c r="A618" s="49" t="s">
        <v>67</v>
      </c>
      <c r="B618" s="9"/>
      <c r="C618" s="9">
        <v>0.16</v>
      </c>
      <c r="D618" s="9">
        <v>0.02</v>
      </c>
      <c r="E618" s="9">
        <v>0.56000000000000005</v>
      </c>
      <c r="F618" s="9">
        <v>3</v>
      </c>
      <c r="G618" s="9"/>
    </row>
    <row r="619" spans="1:7" ht="15.75" x14ac:dyDescent="0.25">
      <c r="A619" s="49" t="s">
        <v>41</v>
      </c>
      <c r="B619" s="9"/>
      <c r="C619" s="9">
        <v>0.15</v>
      </c>
      <c r="D619" s="9">
        <v>0.03</v>
      </c>
      <c r="E619" s="9">
        <v>0.42</v>
      </c>
      <c r="F619" s="9">
        <v>2.52</v>
      </c>
      <c r="G619" s="9"/>
    </row>
    <row r="620" spans="1:7" ht="15.75" x14ac:dyDescent="0.25">
      <c r="A620" s="49" t="s">
        <v>340</v>
      </c>
      <c r="B620" s="9"/>
      <c r="C620" s="9">
        <v>0</v>
      </c>
      <c r="D620" s="9">
        <v>0</v>
      </c>
      <c r="E620" s="9">
        <v>0</v>
      </c>
      <c r="F620" s="9">
        <v>0</v>
      </c>
      <c r="G620" s="9"/>
    </row>
    <row r="621" spans="1:7" ht="15.75" x14ac:dyDescent="0.25">
      <c r="A621" s="49" t="s">
        <v>335</v>
      </c>
      <c r="B621" s="9"/>
      <c r="C621" s="9">
        <v>0.2</v>
      </c>
      <c r="D621" s="9">
        <v>18.649999999999999</v>
      </c>
      <c r="E621" s="9">
        <v>0.4</v>
      </c>
      <c r="F621" s="9">
        <v>170.3</v>
      </c>
      <c r="G621" s="9"/>
    </row>
    <row r="622" spans="1:7" ht="21" x14ac:dyDescent="0.25">
      <c r="A622" s="174" t="s">
        <v>345</v>
      </c>
      <c r="B622" s="175"/>
      <c r="C622" s="175"/>
      <c r="D622" s="175"/>
      <c r="E622" s="175"/>
      <c r="F622" s="175"/>
      <c r="G622" s="176"/>
    </row>
    <row r="623" spans="1:7" ht="15.75" x14ac:dyDescent="0.25">
      <c r="A623" s="3" t="s">
        <v>346</v>
      </c>
      <c r="B623" s="4">
        <v>183</v>
      </c>
      <c r="C623" s="5">
        <f>SUM(C624:C628)</f>
        <v>4.5250000000000004</v>
      </c>
      <c r="D623" s="5">
        <f>SUM(D624:D628)</f>
        <v>3.8919999999999999</v>
      </c>
      <c r="E623" s="5">
        <f>SUM(E624:E628)</f>
        <v>17.87</v>
      </c>
      <c r="F623" s="5">
        <f>SUM(F624:F628)</f>
        <v>123.85</v>
      </c>
      <c r="G623" s="5">
        <f>F623/B623*100</f>
        <v>67.677595628415304</v>
      </c>
    </row>
    <row r="624" spans="1:7" ht="15.75" x14ac:dyDescent="0.25">
      <c r="A624" s="59" t="s">
        <v>347</v>
      </c>
      <c r="B624" s="38">
        <v>140</v>
      </c>
      <c r="C624" s="9">
        <v>3.15</v>
      </c>
      <c r="D624" s="9">
        <v>0.84</v>
      </c>
      <c r="E624" s="9">
        <v>14.35</v>
      </c>
      <c r="F624" s="10">
        <v>77.28</v>
      </c>
      <c r="G624" s="9"/>
    </row>
    <row r="625" spans="1:7" ht="15.75" x14ac:dyDescent="0.25">
      <c r="A625" s="59" t="s">
        <v>132</v>
      </c>
      <c r="B625" s="38">
        <v>31</v>
      </c>
      <c r="C625" s="9">
        <v>1</v>
      </c>
      <c r="D625" s="10">
        <v>0.04</v>
      </c>
      <c r="E625" s="9">
        <v>1.48</v>
      </c>
      <c r="F625" s="9">
        <v>8.8000000000000007</v>
      </c>
      <c r="G625" s="9"/>
    </row>
    <row r="626" spans="1:7" ht="15.75" x14ac:dyDescent="0.25">
      <c r="A626" s="59" t="s">
        <v>348</v>
      </c>
      <c r="B626" s="38">
        <v>12</v>
      </c>
      <c r="C626" s="10">
        <v>0.375</v>
      </c>
      <c r="D626" s="10">
        <v>1.4999999999999999E-2</v>
      </c>
      <c r="E626" s="10">
        <v>2.04</v>
      </c>
      <c r="F626" s="10">
        <v>10.8</v>
      </c>
      <c r="G626" s="9"/>
    </row>
    <row r="627" spans="1:7" ht="15.75" x14ac:dyDescent="0.25">
      <c r="A627" s="59" t="s">
        <v>23</v>
      </c>
      <c r="B627" s="38">
        <v>2</v>
      </c>
      <c r="C627" s="10">
        <v>0</v>
      </c>
      <c r="D627" s="10">
        <v>2.9969999999999999</v>
      </c>
      <c r="E627" s="10">
        <v>0</v>
      </c>
      <c r="F627" s="10">
        <v>26.97</v>
      </c>
      <c r="G627" s="9"/>
    </row>
    <row r="628" spans="1:7" ht="15.75" x14ac:dyDescent="0.25">
      <c r="A628" s="59" t="s">
        <v>18</v>
      </c>
      <c r="B628" s="38">
        <v>2</v>
      </c>
      <c r="C628" s="10">
        <v>0</v>
      </c>
      <c r="D628" s="10">
        <v>0</v>
      </c>
      <c r="E628" s="10">
        <v>0</v>
      </c>
      <c r="F628" s="10">
        <v>0</v>
      </c>
      <c r="G628" s="9"/>
    </row>
    <row r="629" spans="1:7" ht="15.75" x14ac:dyDescent="0.25">
      <c r="A629" s="3" t="s">
        <v>356</v>
      </c>
      <c r="B629" s="4">
        <v>150</v>
      </c>
      <c r="C629" s="5">
        <f>SUM(C630:C633)</f>
        <v>3.3963000000000001</v>
      </c>
      <c r="D629" s="5">
        <f>SUM(D630:D633)</f>
        <v>10.2272</v>
      </c>
      <c r="E629" s="5">
        <f>SUM(E630:E633)</f>
        <v>18.229099999999999</v>
      </c>
      <c r="F629" s="5">
        <f>SUM(F630:F633)</f>
        <v>182.30160000000001</v>
      </c>
      <c r="G629" s="15">
        <f>F629/B629*100</f>
        <v>121.53440000000001</v>
      </c>
    </row>
    <row r="630" spans="1:7" ht="15.75" x14ac:dyDescent="0.25">
      <c r="A630" s="59" t="s">
        <v>357</v>
      </c>
      <c r="B630" s="60">
        <v>130</v>
      </c>
      <c r="C630" s="17">
        <v>2.9262999999999999</v>
      </c>
      <c r="D630" s="17">
        <v>5.6471999999999998</v>
      </c>
      <c r="E630" s="17">
        <v>17.4941</v>
      </c>
      <c r="F630" s="17">
        <v>136.1516</v>
      </c>
      <c r="G630" s="18"/>
    </row>
    <row r="631" spans="1:7" ht="15.75" x14ac:dyDescent="0.25">
      <c r="A631" s="59" t="s">
        <v>15</v>
      </c>
      <c r="B631" s="60">
        <v>5</v>
      </c>
      <c r="C631" s="10">
        <v>3.5000000000000003E-2</v>
      </c>
      <c r="D631" s="10">
        <v>4.0999999999999996</v>
      </c>
      <c r="E631" s="10">
        <v>0.03</v>
      </c>
      <c r="F631" s="10">
        <v>37.15</v>
      </c>
      <c r="G631" s="20"/>
    </row>
    <row r="632" spans="1:7" ht="15.75" x14ac:dyDescent="0.25">
      <c r="A632" s="59" t="s">
        <v>358</v>
      </c>
      <c r="B632" s="60">
        <v>15</v>
      </c>
      <c r="C632" s="10">
        <v>0.435</v>
      </c>
      <c r="D632" s="10">
        <v>0.48</v>
      </c>
      <c r="E632" s="10">
        <v>0.70499999999999996</v>
      </c>
      <c r="F632" s="10">
        <v>9</v>
      </c>
      <c r="G632" s="20"/>
    </row>
    <row r="633" spans="1:7" ht="15.75" x14ac:dyDescent="0.25">
      <c r="A633" s="59" t="s">
        <v>18</v>
      </c>
      <c r="B633" s="60">
        <v>2</v>
      </c>
      <c r="C633" s="10">
        <v>0</v>
      </c>
      <c r="D633" s="10">
        <v>0</v>
      </c>
      <c r="E633" s="10">
        <v>0</v>
      </c>
      <c r="F633" s="10">
        <v>0</v>
      </c>
      <c r="G633" s="20"/>
    </row>
    <row r="634" spans="1:7" ht="15.75" x14ac:dyDescent="0.25">
      <c r="A634" s="3" t="s">
        <v>359</v>
      </c>
      <c r="B634" s="4">
        <v>120</v>
      </c>
      <c r="C634" s="5">
        <f>SUM(C635:C638)</f>
        <v>3.9807999999999999</v>
      </c>
      <c r="D634" s="5">
        <f>SUM(D635:D638)</f>
        <v>13.2006</v>
      </c>
      <c r="E634" s="5">
        <f>SUM(E635:E638)</f>
        <v>40.397399999999998</v>
      </c>
      <c r="F634" s="5">
        <f>SUM(F635:F638)</f>
        <v>304.642</v>
      </c>
      <c r="G634" s="15">
        <f>F634/B634*100</f>
        <v>253.86833333333331</v>
      </c>
    </row>
    <row r="635" spans="1:7" ht="15.75" x14ac:dyDescent="0.25">
      <c r="A635" s="59" t="s">
        <v>360</v>
      </c>
      <c r="B635" s="60">
        <v>120</v>
      </c>
      <c r="C635" s="17">
        <v>3.96</v>
      </c>
      <c r="D635" s="17">
        <v>7.2</v>
      </c>
      <c r="E635" s="17">
        <v>40.32</v>
      </c>
      <c r="F635" s="17">
        <v>250.2</v>
      </c>
      <c r="G635" s="18"/>
    </row>
    <row r="636" spans="1:7" ht="15.75" x14ac:dyDescent="0.25">
      <c r="A636" s="59" t="s">
        <v>23</v>
      </c>
      <c r="B636" s="60">
        <v>6</v>
      </c>
      <c r="C636" s="10">
        <v>0</v>
      </c>
      <c r="D636" s="10">
        <v>5.9939999999999998</v>
      </c>
      <c r="E636" s="10">
        <v>0</v>
      </c>
      <c r="F636" s="10">
        <v>53.94</v>
      </c>
      <c r="G636" s="20"/>
    </row>
    <row r="637" spans="1:7" ht="15.75" x14ac:dyDescent="0.25">
      <c r="A637" s="59" t="s">
        <v>18</v>
      </c>
      <c r="B637" s="60">
        <v>1</v>
      </c>
      <c r="C637" s="10">
        <v>0</v>
      </c>
      <c r="D637" s="10">
        <v>0</v>
      </c>
      <c r="E637" s="10">
        <v>0</v>
      </c>
      <c r="F637" s="10">
        <v>0</v>
      </c>
      <c r="G637" s="20"/>
    </row>
    <row r="638" spans="1:7" ht="15.75" x14ac:dyDescent="0.25">
      <c r="A638" s="59" t="s">
        <v>17</v>
      </c>
      <c r="B638" s="60">
        <v>0.2</v>
      </c>
      <c r="C638" s="10">
        <v>2.0799999999999999E-2</v>
      </c>
      <c r="D638" s="10">
        <v>6.6E-3</v>
      </c>
      <c r="E638" s="10">
        <v>7.7399999999999997E-2</v>
      </c>
      <c r="F638" s="10">
        <v>0.502</v>
      </c>
      <c r="G638" s="20"/>
    </row>
    <row r="639" spans="1:7" ht="15.75" x14ac:dyDescent="0.25">
      <c r="A639" s="3" t="s">
        <v>361</v>
      </c>
      <c r="B639" s="4">
        <v>135</v>
      </c>
      <c r="C639" s="5">
        <f>SUM(C640:C645)</f>
        <v>3.0459999999999998</v>
      </c>
      <c r="D639" s="5">
        <f>SUM(D640:D645)</f>
        <v>1.7943999999999998</v>
      </c>
      <c r="E639" s="5">
        <f>SUM(E640:E645)</f>
        <v>24.221</v>
      </c>
      <c r="F639" s="5">
        <f>SUM(F640:F645)</f>
        <v>125.38</v>
      </c>
      <c r="G639" s="15">
        <f>F639/B639*100</f>
        <v>92.874074074074073</v>
      </c>
    </row>
    <row r="640" spans="1:7" ht="15.75" x14ac:dyDescent="0.25">
      <c r="A640" s="59" t="s">
        <v>362</v>
      </c>
      <c r="B640" s="60">
        <v>135</v>
      </c>
      <c r="C640" s="17">
        <v>2.85</v>
      </c>
      <c r="D640" s="17">
        <v>0.6</v>
      </c>
      <c r="E640" s="17">
        <v>22.95</v>
      </c>
      <c r="F640" s="17">
        <v>108.75</v>
      </c>
      <c r="G640" s="18"/>
    </row>
    <row r="641" spans="1:7" ht="15.75" x14ac:dyDescent="0.25">
      <c r="A641" s="59" t="s">
        <v>23</v>
      </c>
      <c r="B641" s="60">
        <v>3</v>
      </c>
      <c r="C641" s="10">
        <v>0.114</v>
      </c>
      <c r="D641" s="10">
        <v>2.4E-2</v>
      </c>
      <c r="E641" s="10">
        <v>0.91800000000000004</v>
      </c>
      <c r="F641" s="10">
        <v>4.3499999999999996</v>
      </c>
      <c r="G641" s="20"/>
    </row>
    <row r="642" spans="1:7" ht="15.75" x14ac:dyDescent="0.25">
      <c r="A642" s="59" t="s">
        <v>363</v>
      </c>
      <c r="B642" s="60">
        <v>2</v>
      </c>
      <c r="C642" s="10">
        <v>5.3800000000000001E-2</v>
      </c>
      <c r="D642" s="10">
        <v>1.163</v>
      </c>
      <c r="E642" s="10">
        <v>0.26040000000000002</v>
      </c>
      <c r="F642" s="10">
        <v>11.68</v>
      </c>
      <c r="G642" s="20"/>
    </row>
    <row r="643" spans="1:7" ht="15.75" x14ac:dyDescent="0.25">
      <c r="A643" s="59" t="s">
        <v>364</v>
      </c>
      <c r="B643" s="60">
        <v>0.2</v>
      </c>
      <c r="C643" s="10">
        <v>7.4000000000000003E-3</v>
      </c>
      <c r="D643" s="10">
        <v>8.0000000000000004E-4</v>
      </c>
      <c r="E643" s="10">
        <v>1.52E-2</v>
      </c>
      <c r="F643" s="10">
        <v>9.8000000000000004E-2</v>
      </c>
      <c r="G643" s="20"/>
    </row>
    <row r="644" spans="1:7" ht="15.75" x14ac:dyDescent="0.25">
      <c r="A644" s="59" t="s">
        <v>17</v>
      </c>
      <c r="B644" s="60">
        <v>0.2</v>
      </c>
      <c r="C644" s="10">
        <v>2.0799999999999999E-2</v>
      </c>
      <c r="D644" s="10">
        <v>6.6E-3</v>
      </c>
      <c r="E644" s="10">
        <v>7.7399999999999997E-2</v>
      </c>
      <c r="F644" s="10">
        <v>0.502</v>
      </c>
      <c r="G644" s="20"/>
    </row>
    <row r="645" spans="1:7" ht="15.75" x14ac:dyDescent="0.25">
      <c r="A645" s="59" t="s">
        <v>18</v>
      </c>
      <c r="B645" s="60">
        <v>3</v>
      </c>
      <c r="C645" s="10">
        <v>0</v>
      </c>
      <c r="D645" s="10">
        <v>0</v>
      </c>
      <c r="E645" s="10">
        <v>0</v>
      </c>
      <c r="F645" s="10">
        <v>0</v>
      </c>
      <c r="G645" s="20"/>
    </row>
    <row r="646" spans="1:7" ht="15.75" x14ac:dyDescent="0.25">
      <c r="A646" s="3" t="s">
        <v>365</v>
      </c>
      <c r="B646" s="4">
        <v>230</v>
      </c>
      <c r="C646" s="5">
        <f>SUM(C647:C656)</f>
        <v>3.3455999999999997</v>
      </c>
      <c r="D646" s="5">
        <f>SUM(D647:D656)</f>
        <v>8.4116</v>
      </c>
      <c r="E646" s="5">
        <f>SUM(E647:E656)</f>
        <v>14.079400000000001</v>
      </c>
      <c r="F646" s="5">
        <f>SUM(F647:F656)</f>
        <v>149.09059999999999</v>
      </c>
      <c r="G646" s="15">
        <f>F646/B646*100</f>
        <v>64.822000000000003</v>
      </c>
    </row>
    <row r="647" spans="1:7" ht="15.75" x14ac:dyDescent="0.25">
      <c r="A647" s="59" t="s">
        <v>366</v>
      </c>
      <c r="B647" s="60">
        <v>45</v>
      </c>
      <c r="C647" s="17">
        <v>0.6</v>
      </c>
      <c r="D647" s="17">
        <v>0.12</v>
      </c>
      <c r="E647" s="17">
        <v>1.74</v>
      </c>
      <c r="F647" s="17">
        <v>15</v>
      </c>
      <c r="G647" s="18"/>
    </row>
    <row r="648" spans="1:7" ht="15.75" x14ac:dyDescent="0.25">
      <c r="A648" s="59" t="s">
        <v>351</v>
      </c>
      <c r="B648" s="60">
        <v>50</v>
      </c>
      <c r="C648" s="10">
        <v>0.78</v>
      </c>
      <c r="D648" s="10">
        <v>0.06</v>
      </c>
      <c r="E648" s="10">
        <v>3.18</v>
      </c>
      <c r="F648" s="10">
        <v>15.6</v>
      </c>
      <c r="G648" s="20"/>
    </row>
    <row r="649" spans="1:7" ht="15.75" x14ac:dyDescent="0.25">
      <c r="A649" s="59" t="s">
        <v>367</v>
      </c>
      <c r="B649" s="60">
        <v>35</v>
      </c>
      <c r="C649" s="10">
        <v>0.3</v>
      </c>
      <c r="D649" s="10">
        <v>0</v>
      </c>
      <c r="E649" s="10">
        <v>1.9</v>
      </c>
      <c r="F649" s="10">
        <v>7</v>
      </c>
      <c r="G649" s="20"/>
    </row>
    <row r="650" spans="1:7" ht="15.75" x14ac:dyDescent="0.25">
      <c r="A650" s="59" t="s">
        <v>352</v>
      </c>
      <c r="B650" s="60">
        <v>40</v>
      </c>
      <c r="C650" s="10">
        <v>0.35</v>
      </c>
      <c r="D650" s="10">
        <v>0.15</v>
      </c>
      <c r="E650" s="10">
        <v>3.85</v>
      </c>
      <c r="F650" s="10">
        <v>16.55</v>
      </c>
      <c r="G650" s="20"/>
    </row>
    <row r="651" spans="1:7" ht="15.75" x14ac:dyDescent="0.25">
      <c r="A651" s="59" t="s">
        <v>132</v>
      </c>
      <c r="B651" s="60">
        <v>31</v>
      </c>
      <c r="C651" s="10">
        <v>1</v>
      </c>
      <c r="D651" s="10">
        <v>0.04</v>
      </c>
      <c r="E651" s="10">
        <v>1.48</v>
      </c>
      <c r="F651" s="10">
        <v>8.8000000000000007</v>
      </c>
      <c r="G651" s="20"/>
    </row>
    <row r="652" spans="1:7" ht="15.75" x14ac:dyDescent="0.25">
      <c r="A652" s="59" t="s">
        <v>353</v>
      </c>
      <c r="B652" s="60">
        <v>24</v>
      </c>
      <c r="C652" s="10">
        <v>0.27</v>
      </c>
      <c r="D652" s="10">
        <v>0.03</v>
      </c>
      <c r="E652" s="10">
        <v>1.8</v>
      </c>
      <c r="F652" s="10">
        <v>13.2</v>
      </c>
      <c r="G652" s="20"/>
    </row>
    <row r="653" spans="1:7" ht="15.75" x14ac:dyDescent="0.25">
      <c r="A653" s="59" t="s">
        <v>23</v>
      </c>
      <c r="B653" s="60">
        <v>5</v>
      </c>
      <c r="C653" s="10">
        <v>0</v>
      </c>
      <c r="D653" s="10">
        <v>7.992</v>
      </c>
      <c r="E653" s="10">
        <v>0</v>
      </c>
      <c r="F653" s="10">
        <v>71.92</v>
      </c>
      <c r="G653" s="20"/>
    </row>
    <row r="654" spans="1:7" ht="15.75" x14ac:dyDescent="0.25">
      <c r="A654" s="59" t="s">
        <v>17</v>
      </c>
      <c r="B654" s="60">
        <v>0.2</v>
      </c>
      <c r="C654" s="10">
        <v>2.0799999999999999E-2</v>
      </c>
      <c r="D654" s="10">
        <v>6.6E-3</v>
      </c>
      <c r="E654" s="10">
        <v>7.7399999999999997E-2</v>
      </c>
      <c r="F654" s="10">
        <v>0.502</v>
      </c>
      <c r="G654" s="20"/>
    </row>
    <row r="655" spans="1:7" ht="15.75" x14ac:dyDescent="0.25">
      <c r="A655" s="59" t="s">
        <v>18</v>
      </c>
      <c r="B655" s="60">
        <v>3</v>
      </c>
      <c r="C655" s="10">
        <v>0</v>
      </c>
      <c r="D655" s="10">
        <v>0</v>
      </c>
      <c r="E655" s="10">
        <v>0</v>
      </c>
      <c r="F655" s="10">
        <v>0</v>
      </c>
      <c r="G655" s="20"/>
    </row>
    <row r="656" spans="1:7" ht="15.75" x14ac:dyDescent="0.25">
      <c r="A656" s="59" t="s">
        <v>368</v>
      </c>
      <c r="B656" s="60">
        <v>0.2</v>
      </c>
      <c r="C656" s="10">
        <v>2.4799999999999999E-2</v>
      </c>
      <c r="D656" s="10">
        <v>1.2999999999999999E-2</v>
      </c>
      <c r="E656" s="10">
        <v>5.1999999999999998E-2</v>
      </c>
      <c r="F656" s="10">
        <v>0.51859999999999995</v>
      </c>
      <c r="G656" s="20"/>
    </row>
    <row r="657" spans="1:7" ht="15.75" x14ac:dyDescent="0.25">
      <c r="A657" s="3" t="s">
        <v>369</v>
      </c>
      <c r="B657" s="4">
        <v>120</v>
      </c>
      <c r="C657" s="5">
        <f>SUM(C658:C660)</f>
        <v>2.88</v>
      </c>
      <c r="D657" s="5">
        <f>SUM(D658:D660)</f>
        <v>7.7939999999999996</v>
      </c>
      <c r="E657" s="5">
        <f>SUM(E658:E660)</f>
        <v>36.18</v>
      </c>
      <c r="F657" s="5">
        <f>SUM(F658:F660)</f>
        <v>208.74</v>
      </c>
      <c r="G657" s="15">
        <f>F657/B657*100</f>
        <v>173.95000000000002</v>
      </c>
    </row>
    <row r="658" spans="1:7" ht="15.75" x14ac:dyDescent="0.25">
      <c r="A658" s="59" t="s">
        <v>370</v>
      </c>
      <c r="B658" s="60">
        <v>120</v>
      </c>
      <c r="C658" s="17">
        <v>2.88</v>
      </c>
      <c r="D658" s="17">
        <v>1.8</v>
      </c>
      <c r="E658" s="17">
        <v>36.18</v>
      </c>
      <c r="F658" s="17">
        <v>154.80000000000001</v>
      </c>
      <c r="G658" s="18"/>
    </row>
    <row r="659" spans="1:7" ht="15.75" x14ac:dyDescent="0.25">
      <c r="A659" s="59" t="s">
        <v>23</v>
      </c>
      <c r="B659" s="60">
        <v>6</v>
      </c>
      <c r="C659" s="10">
        <v>0</v>
      </c>
      <c r="D659" s="10">
        <v>5.9939999999999998</v>
      </c>
      <c r="E659" s="10">
        <v>0</v>
      </c>
      <c r="F659" s="10">
        <v>53.94</v>
      </c>
      <c r="G659" s="20"/>
    </row>
    <row r="660" spans="1:7" ht="15.75" x14ac:dyDescent="0.25">
      <c r="A660" s="59" t="s">
        <v>18</v>
      </c>
      <c r="B660" s="60">
        <v>2</v>
      </c>
      <c r="C660" s="10">
        <v>0</v>
      </c>
      <c r="D660" s="10">
        <v>0</v>
      </c>
      <c r="E660" s="10">
        <v>0</v>
      </c>
      <c r="F660" s="10">
        <v>0</v>
      </c>
      <c r="G660" s="20"/>
    </row>
    <row r="661" spans="1:7" ht="20.25" x14ac:dyDescent="0.3">
      <c r="A661" s="97" t="s">
        <v>371</v>
      </c>
      <c r="B661" s="60"/>
      <c r="C661" s="98"/>
      <c r="D661" s="98"/>
      <c r="E661" s="98"/>
      <c r="F661" s="98"/>
      <c r="G661" s="20"/>
    </row>
    <row r="662" spans="1:7" ht="15.75" x14ac:dyDescent="0.25">
      <c r="A662" s="3" t="s">
        <v>372</v>
      </c>
      <c r="B662" s="4">
        <v>160</v>
      </c>
      <c r="C662" s="5">
        <f>SUM(C663:C673)</f>
        <v>17.763000000000002</v>
      </c>
      <c r="D662" s="5">
        <f>SUM(D663:D673)</f>
        <v>27.217999999999996</v>
      </c>
      <c r="E662" s="5">
        <f>SUM(E663:E673)</f>
        <v>13.4095</v>
      </c>
      <c r="F662" s="5">
        <f>SUM(F663:F673)</f>
        <v>378.99999999999994</v>
      </c>
      <c r="G662" s="5">
        <f>F662/B662*100</f>
        <v>236.87499999999994</v>
      </c>
    </row>
    <row r="663" spans="1:7" ht="15.75" x14ac:dyDescent="0.25">
      <c r="A663" s="59" t="s">
        <v>373</v>
      </c>
      <c r="B663" s="38">
        <v>90</v>
      </c>
      <c r="C663" s="9">
        <v>14.4</v>
      </c>
      <c r="D663" s="9">
        <v>16.2</v>
      </c>
      <c r="E663" s="9">
        <v>0</v>
      </c>
      <c r="F663" s="10">
        <v>207</v>
      </c>
      <c r="G663" s="9"/>
    </row>
    <row r="664" spans="1:7" ht="15.75" x14ac:dyDescent="0.25">
      <c r="A664" s="59" t="s">
        <v>374</v>
      </c>
      <c r="B664" s="38">
        <v>25</v>
      </c>
      <c r="C664" s="9">
        <v>1.5</v>
      </c>
      <c r="D664" s="10">
        <v>0.25</v>
      </c>
      <c r="E664" s="9">
        <v>11</v>
      </c>
      <c r="F664" s="9">
        <v>52.5</v>
      </c>
      <c r="G664" s="9"/>
    </row>
    <row r="665" spans="1:7" ht="15.75" x14ac:dyDescent="0.25">
      <c r="A665" s="59" t="s">
        <v>155</v>
      </c>
      <c r="B665" s="38">
        <v>5</v>
      </c>
      <c r="C665" s="10">
        <v>0.65500000000000003</v>
      </c>
      <c r="D665" s="10">
        <v>0.55500000000000005</v>
      </c>
      <c r="E665" s="10">
        <v>0.02</v>
      </c>
      <c r="F665" s="10">
        <v>7.9</v>
      </c>
      <c r="G665" s="9"/>
    </row>
    <row r="666" spans="1:7" ht="15.75" x14ac:dyDescent="0.25">
      <c r="A666" s="59" t="s">
        <v>173</v>
      </c>
      <c r="B666" s="38">
        <v>10</v>
      </c>
      <c r="C666" s="10">
        <v>0</v>
      </c>
      <c r="D666" s="10">
        <v>9.16</v>
      </c>
      <c r="E666" s="10">
        <v>0</v>
      </c>
      <c r="F666" s="10">
        <v>89.8</v>
      </c>
      <c r="G666" s="9"/>
    </row>
    <row r="667" spans="1:7" ht="15.75" x14ac:dyDescent="0.25">
      <c r="A667" s="59" t="s">
        <v>375</v>
      </c>
      <c r="B667" s="38">
        <v>5</v>
      </c>
      <c r="C667" s="10">
        <v>0.37</v>
      </c>
      <c r="D667" s="10">
        <v>0.72</v>
      </c>
      <c r="E667" s="10">
        <v>0.48</v>
      </c>
      <c r="F667" s="10">
        <v>8.6999999999999993</v>
      </c>
      <c r="G667" s="9"/>
    </row>
    <row r="668" spans="1:7" ht="15.75" x14ac:dyDescent="0.25">
      <c r="A668" s="59" t="s">
        <v>376</v>
      </c>
      <c r="B668" s="38">
        <v>5</v>
      </c>
      <c r="C668" s="10">
        <v>0.495</v>
      </c>
      <c r="D668" s="10">
        <v>0.26500000000000001</v>
      </c>
      <c r="E668" s="10">
        <v>0.63500000000000001</v>
      </c>
      <c r="F668" s="10">
        <v>7.15</v>
      </c>
      <c r="G668" s="9"/>
    </row>
    <row r="669" spans="1:7" ht="15.75" x14ac:dyDescent="0.25">
      <c r="A669" s="59" t="s">
        <v>174</v>
      </c>
      <c r="B669" s="38">
        <v>5</v>
      </c>
      <c r="C669" s="10">
        <v>0.11799999999999999</v>
      </c>
      <c r="D669" s="10">
        <v>4.2999999999999997E-2</v>
      </c>
      <c r="E669" s="10">
        <v>0.2445</v>
      </c>
      <c r="F669" s="10">
        <v>1.1499999999999999</v>
      </c>
      <c r="G669" s="9"/>
    </row>
    <row r="670" spans="1:7" ht="15.75" x14ac:dyDescent="0.25">
      <c r="A670" s="59" t="s">
        <v>14</v>
      </c>
      <c r="B670" s="38">
        <v>5</v>
      </c>
      <c r="C670" s="10">
        <v>0.125</v>
      </c>
      <c r="D670" s="10">
        <v>5.0000000000000001E-3</v>
      </c>
      <c r="E670" s="10">
        <v>0.68</v>
      </c>
      <c r="F670" s="10">
        <v>3.6</v>
      </c>
      <c r="G670" s="9"/>
    </row>
    <row r="671" spans="1:7" ht="15.75" x14ac:dyDescent="0.25">
      <c r="A671" s="59" t="s">
        <v>297</v>
      </c>
      <c r="B671" s="38">
        <v>10</v>
      </c>
      <c r="C671" s="10">
        <v>0.1</v>
      </c>
      <c r="D671" s="10">
        <v>0.02</v>
      </c>
      <c r="E671" s="10">
        <v>0.35</v>
      </c>
      <c r="F671" s="10">
        <v>1.2</v>
      </c>
      <c r="G671" s="9"/>
    </row>
    <row r="672" spans="1:7" ht="15.75" x14ac:dyDescent="0.25">
      <c r="A672" s="59" t="s">
        <v>377</v>
      </c>
      <c r="B672" s="38">
        <v>0.2</v>
      </c>
      <c r="C672" s="10">
        <v>0</v>
      </c>
      <c r="D672" s="10">
        <v>0</v>
      </c>
      <c r="E672" s="10">
        <v>0</v>
      </c>
      <c r="F672" s="10">
        <v>0</v>
      </c>
      <c r="G672" s="9"/>
    </row>
    <row r="673" spans="1:7" ht="15.75" x14ac:dyDescent="0.25">
      <c r="A673" s="59" t="s">
        <v>18</v>
      </c>
      <c r="B673" s="38">
        <v>2</v>
      </c>
      <c r="C673" s="83">
        <v>0</v>
      </c>
      <c r="D673" s="83">
        <v>0</v>
      </c>
      <c r="E673" s="83">
        <v>0</v>
      </c>
      <c r="F673" s="83">
        <v>0</v>
      </c>
      <c r="G673" s="9"/>
    </row>
    <row r="674" spans="1:7" ht="15.75" x14ac:dyDescent="0.25">
      <c r="A674" s="3" t="s">
        <v>378</v>
      </c>
      <c r="B674" s="4">
        <v>152</v>
      </c>
      <c r="C674" s="5">
        <f>SUM(C675:C681)</f>
        <v>20.010800000000003</v>
      </c>
      <c r="D674" s="5">
        <f>SUM(D675:D681)</f>
        <v>25.040599999999998</v>
      </c>
      <c r="E674" s="5">
        <f>SUM(E675:E681)</f>
        <v>13.005400000000002</v>
      </c>
      <c r="F674" s="5">
        <f>SUM(F675:F681)</f>
        <v>347.25399999999996</v>
      </c>
      <c r="G674" s="15">
        <f>F674/B674*100</f>
        <v>228.4565789473684</v>
      </c>
    </row>
    <row r="675" spans="1:7" ht="15.75" x14ac:dyDescent="0.25">
      <c r="A675" s="59" t="s">
        <v>11</v>
      </c>
      <c r="B675" s="60">
        <v>80</v>
      </c>
      <c r="C675" s="17">
        <v>15.52</v>
      </c>
      <c r="D675" s="17">
        <v>9.3119999999999994</v>
      </c>
      <c r="E675" s="17">
        <v>1.016</v>
      </c>
      <c r="F675" s="17">
        <v>141.71199999999999</v>
      </c>
      <c r="G675" s="18"/>
    </row>
    <row r="676" spans="1:7" ht="15.75" x14ac:dyDescent="0.25">
      <c r="A676" s="59" t="s">
        <v>194</v>
      </c>
      <c r="B676" s="60">
        <v>20</v>
      </c>
      <c r="C676" s="10">
        <v>0.4</v>
      </c>
      <c r="D676" s="10">
        <v>8.4</v>
      </c>
      <c r="E676" s="10">
        <v>3.4</v>
      </c>
      <c r="F676" s="10">
        <v>93.2</v>
      </c>
      <c r="G676" s="20"/>
    </row>
    <row r="677" spans="1:7" ht="15.75" x14ac:dyDescent="0.25">
      <c r="A677" s="59" t="s">
        <v>379</v>
      </c>
      <c r="B677" s="60">
        <v>20</v>
      </c>
      <c r="C677" s="10">
        <v>3.42</v>
      </c>
      <c r="D677" s="10">
        <v>2.82</v>
      </c>
      <c r="E677" s="10">
        <v>5.84</v>
      </c>
      <c r="F677" s="10">
        <v>62.4</v>
      </c>
      <c r="G677" s="20"/>
    </row>
    <row r="678" spans="1:7" ht="15.75" x14ac:dyDescent="0.25">
      <c r="A678" s="59" t="s">
        <v>14</v>
      </c>
      <c r="B678" s="60">
        <v>2</v>
      </c>
      <c r="C678" s="10">
        <v>0.05</v>
      </c>
      <c r="D678" s="10">
        <v>2E-3</v>
      </c>
      <c r="E678" s="10">
        <v>0.27200000000000002</v>
      </c>
      <c r="F678" s="10">
        <v>1.44</v>
      </c>
      <c r="G678" s="20"/>
    </row>
    <row r="679" spans="1:7" ht="15.75" x14ac:dyDescent="0.25">
      <c r="A679" s="59" t="s">
        <v>380</v>
      </c>
      <c r="B679" s="60">
        <v>30</v>
      </c>
      <c r="C679" s="10">
        <v>0.6</v>
      </c>
      <c r="D679" s="10">
        <v>4.5</v>
      </c>
      <c r="E679" s="10">
        <v>2.4</v>
      </c>
      <c r="F679" s="10">
        <v>48</v>
      </c>
      <c r="G679" s="20"/>
    </row>
    <row r="680" spans="1:7" ht="15.75" x14ac:dyDescent="0.25">
      <c r="A680" s="59" t="s">
        <v>18</v>
      </c>
      <c r="B680" s="60">
        <v>2</v>
      </c>
      <c r="C680" s="10">
        <v>0</v>
      </c>
      <c r="D680" s="10">
        <v>0</v>
      </c>
      <c r="E680" s="10">
        <v>0</v>
      </c>
      <c r="F680" s="10">
        <v>0</v>
      </c>
      <c r="G680" s="20"/>
    </row>
    <row r="681" spans="1:7" ht="15.75" x14ac:dyDescent="0.25">
      <c r="A681" s="59" t="s">
        <v>17</v>
      </c>
      <c r="B681" s="60">
        <v>0.2</v>
      </c>
      <c r="C681" s="10">
        <v>2.0799999999999999E-2</v>
      </c>
      <c r="D681" s="10">
        <v>6.6E-3</v>
      </c>
      <c r="E681" s="10">
        <v>7.7399999999999997E-2</v>
      </c>
      <c r="F681" s="10">
        <v>0.502</v>
      </c>
      <c r="G681" s="20"/>
    </row>
    <row r="682" spans="1:7" ht="15.75" x14ac:dyDescent="0.25">
      <c r="A682" s="99" t="s">
        <v>381</v>
      </c>
      <c r="B682" s="179"/>
      <c r="C682" s="180"/>
      <c r="D682" s="180"/>
      <c r="E682" s="180"/>
      <c r="F682" s="180"/>
      <c r="G682" s="181"/>
    </row>
    <row r="683" spans="1:7" ht="15.75" x14ac:dyDescent="0.25">
      <c r="A683" s="3" t="s">
        <v>382</v>
      </c>
      <c r="B683" s="4">
        <v>115</v>
      </c>
      <c r="C683" s="5">
        <f>SUM(C684:C689)</f>
        <v>18.721399999999999</v>
      </c>
      <c r="D683" s="5">
        <f>SUM(D684:D689)</f>
        <v>16.982399999999998</v>
      </c>
      <c r="E683" s="5">
        <f>SUM(E684:E689)</f>
        <v>2.1739999999999999</v>
      </c>
      <c r="F683" s="5">
        <f>SUM(F684:F689)</f>
        <v>247.79400000000001</v>
      </c>
      <c r="G683" s="15">
        <f>F683/B683*100</f>
        <v>215.47304347826088</v>
      </c>
    </row>
    <row r="684" spans="1:7" ht="15.75" x14ac:dyDescent="0.25">
      <c r="A684" s="59" t="s">
        <v>383</v>
      </c>
      <c r="B684" s="60">
        <v>80</v>
      </c>
      <c r="C684" s="17">
        <v>18.399999999999999</v>
      </c>
      <c r="D684" s="17">
        <v>0.8</v>
      </c>
      <c r="E684" s="17">
        <v>0</v>
      </c>
      <c r="F684" s="17">
        <v>80.8</v>
      </c>
      <c r="G684" s="18"/>
    </row>
    <row r="685" spans="1:7" ht="15.75" x14ac:dyDescent="0.25">
      <c r="A685" s="59" t="s">
        <v>384</v>
      </c>
      <c r="B685" s="60">
        <v>20</v>
      </c>
      <c r="C685" s="10">
        <v>0.2016</v>
      </c>
      <c r="D685" s="10">
        <v>6.9947999999999997</v>
      </c>
      <c r="E685" s="10">
        <v>2.0396000000000001</v>
      </c>
      <c r="F685" s="10">
        <v>75.792000000000002</v>
      </c>
      <c r="G685" s="20"/>
    </row>
    <row r="686" spans="1:7" ht="15.75" x14ac:dyDescent="0.25">
      <c r="A686" s="59" t="s">
        <v>173</v>
      </c>
      <c r="B686" s="60">
        <v>10</v>
      </c>
      <c r="C686" s="10">
        <v>0</v>
      </c>
      <c r="D686" s="10">
        <v>9.16</v>
      </c>
      <c r="E686" s="10">
        <v>0</v>
      </c>
      <c r="F686" s="10">
        <v>89.8</v>
      </c>
      <c r="G686" s="20"/>
    </row>
    <row r="687" spans="1:7" ht="15.75" x14ac:dyDescent="0.25">
      <c r="A687" s="59" t="s">
        <v>115</v>
      </c>
      <c r="B687" s="60">
        <v>3</v>
      </c>
      <c r="C687" s="10">
        <v>9.9000000000000005E-2</v>
      </c>
      <c r="D687" s="10">
        <v>2.1000000000000001E-2</v>
      </c>
      <c r="E687" s="10">
        <v>5.7000000000000002E-2</v>
      </c>
      <c r="F687" s="10">
        <v>0.9</v>
      </c>
      <c r="G687" s="20"/>
    </row>
    <row r="688" spans="1:7" ht="15.75" x14ac:dyDescent="0.25">
      <c r="A688" s="59" t="s">
        <v>17</v>
      </c>
      <c r="B688" s="60">
        <v>0.2</v>
      </c>
      <c r="C688" s="10">
        <v>2.0799999999999999E-2</v>
      </c>
      <c r="D688" s="10">
        <v>6.6E-3</v>
      </c>
      <c r="E688" s="10">
        <v>7.7399999999999997E-2</v>
      </c>
      <c r="F688" s="10">
        <v>0.502</v>
      </c>
      <c r="G688" s="20"/>
    </row>
    <row r="689" spans="1:7" ht="15.75" x14ac:dyDescent="0.25">
      <c r="A689" s="59" t="s">
        <v>18</v>
      </c>
      <c r="B689" s="78">
        <v>2</v>
      </c>
      <c r="C689" s="12">
        <v>0</v>
      </c>
      <c r="D689" s="12">
        <v>0</v>
      </c>
      <c r="E689" s="12">
        <v>0</v>
      </c>
      <c r="F689" s="12">
        <v>0</v>
      </c>
      <c r="G689" s="22"/>
    </row>
    <row r="690" spans="1:7" ht="31.5" x14ac:dyDescent="0.25">
      <c r="A690" s="99" t="s">
        <v>385</v>
      </c>
      <c r="B690" s="179"/>
      <c r="C690" s="180"/>
      <c r="D690" s="180"/>
      <c r="E690" s="180"/>
      <c r="F690" s="180"/>
      <c r="G690" s="181"/>
    </row>
    <row r="691" spans="1:7" ht="21" x14ac:dyDescent="0.25">
      <c r="A691" s="174" t="s">
        <v>386</v>
      </c>
      <c r="B691" s="175"/>
      <c r="C691" s="175"/>
      <c r="D691" s="175"/>
      <c r="E691" s="175"/>
      <c r="F691" s="175"/>
      <c r="G691" s="176"/>
    </row>
    <row r="692" spans="1:7" ht="15.75" x14ac:dyDescent="0.25">
      <c r="A692" s="3" t="s">
        <v>387</v>
      </c>
      <c r="B692" s="4">
        <v>773</v>
      </c>
      <c r="C692" s="5">
        <f>SUM(C693:C700)</f>
        <v>15.185000000000002</v>
      </c>
      <c r="D692" s="5">
        <f>SUM(D693:D700)</f>
        <v>11.781000000000001</v>
      </c>
      <c r="E692" s="5">
        <f>SUM(E693:E700)</f>
        <v>113.31200000000001</v>
      </c>
      <c r="F692" s="5">
        <f>SUM(F693:F700)</f>
        <v>630.16</v>
      </c>
      <c r="G692" s="5">
        <f>F692/B692*100</f>
        <v>81.521345407503233</v>
      </c>
    </row>
    <row r="693" spans="1:7" ht="15.75" x14ac:dyDescent="0.25">
      <c r="A693" s="59" t="s">
        <v>388</v>
      </c>
      <c r="B693" s="38">
        <v>170</v>
      </c>
      <c r="C693" s="9">
        <v>11.9</v>
      </c>
      <c r="D693" s="9">
        <v>10.199999999999999</v>
      </c>
      <c r="E693" s="9">
        <v>68</v>
      </c>
      <c r="F693" s="10">
        <v>404.6</v>
      </c>
      <c r="G693" s="9"/>
    </row>
    <row r="694" spans="1:7" ht="15.75" x14ac:dyDescent="0.25">
      <c r="A694" s="59" t="s">
        <v>389</v>
      </c>
      <c r="B694" s="38">
        <v>160</v>
      </c>
      <c r="C694" s="9">
        <v>1.44</v>
      </c>
      <c r="D694" s="10">
        <v>0.32</v>
      </c>
      <c r="E694" s="9">
        <v>12.96</v>
      </c>
      <c r="F694" s="9">
        <v>68.8</v>
      </c>
      <c r="G694" s="9"/>
    </row>
    <row r="695" spans="1:7" ht="15.75" x14ac:dyDescent="0.25">
      <c r="A695" s="59" t="s">
        <v>390</v>
      </c>
      <c r="B695" s="38">
        <v>120</v>
      </c>
      <c r="C695" s="10">
        <v>0.48</v>
      </c>
      <c r="D695" s="10">
        <v>0.48</v>
      </c>
      <c r="E695" s="10">
        <v>11.4</v>
      </c>
      <c r="F695" s="10">
        <v>50.4</v>
      </c>
      <c r="G695" s="9"/>
    </row>
    <row r="696" spans="1:7" ht="15.75" x14ac:dyDescent="0.25">
      <c r="A696" s="59" t="s">
        <v>391</v>
      </c>
      <c r="B696" s="38">
        <v>120</v>
      </c>
      <c r="C696" s="10">
        <v>0.48</v>
      </c>
      <c r="D696" s="10">
        <v>0.36</v>
      </c>
      <c r="E696" s="10">
        <v>12.36</v>
      </c>
      <c r="F696" s="10">
        <v>56.4</v>
      </c>
      <c r="G696" s="9"/>
    </row>
    <row r="697" spans="1:7" ht="15.75" x14ac:dyDescent="0.25">
      <c r="A697" s="59" t="s">
        <v>392</v>
      </c>
      <c r="B697" s="38">
        <v>100</v>
      </c>
      <c r="C697" s="10">
        <v>0.8</v>
      </c>
      <c r="D697" s="10">
        <v>0.4</v>
      </c>
      <c r="E697" s="10">
        <v>8.1</v>
      </c>
      <c r="F697" s="10">
        <v>47</v>
      </c>
      <c r="G697" s="9"/>
    </row>
    <row r="698" spans="1:7" ht="15.75" x14ac:dyDescent="0.25">
      <c r="A698" s="59" t="s">
        <v>393</v>
      </c>
      <c r="B698" s="38">
        <v>100</v>
      </c>
      <c r="C698" s="10">
        <v>3.0000000000000001E-3</v>
      </c>
      <c r="D698" s="10">
        <v>1E-3</v>
      </c>
      <c r="E698" s="10">
        <v>0.11799999999999999</v>
      </c>
      <c r="F698" s="10">
        <v>0.52</v>
      </c>
      <c r="G698" s="9"/>
    </row>
    <row r="699" spans="1:7" ht="15.75" x14ac:dyDescent="0.25">
      <c r="A699" s="59" t="s">
        <v>394</v>
      </c>
      <c r="B699" s="38">
        <v>1</v>
      </c>
      <c r="C699" s="83">
        <v>6.0000000000000001E-3</v>
      </c>
      <c r="D699" s="83">
        <v>2E-3</v>
      </c>
      <c r="E699" s="83">
        <v>0.23599999999999999</v>
      </c>
      <c r="F699" s="83">
        <v>1.04</v>
      </c>
      <c r="G699" s="9"/>
    </row>
    <row r="700" spans="1:7" ht="15.75" x14ac:dyDescent="0.25">
      <c r="A700" s="59" t="s">
        <v>239</v>
      </c>
      <c r="B700" s="38">
        <v>2</v>
      </c>
      <c r="C700" s="10">
        <v>7.5999999999999998E-2</v>
      </c>
      <c r="D700" s="10">
        <v>1.7999999999999999E-2</v>
      </c>
      <c r="E700" s="10">
        <v>0.13800000000000001</v>
      </c>
      <c r="F700" s="10">
        <v>1.4</v>
      </c>
      <c r="G700" s="9"/>
    </row>
    <row r="701" spans="1:7" ht="15.75" x14ac:dyDescent="0.25">
      <c r="A701" s="3" t="s">
        <v>395</v>
      </c>
      <c r="B701" s="4">
        <v>153</v>
      </c>
      <c r="C701" s="5">
        <f>SUM(C702:C704)</f>
        <v>12.619499999999999</v>
      </c>
      <c r="D701" s="5">
        <f>SUM(D702:D704)</f>
        <v>40.177500000000002</v>
      </c>
      <c r="E701" s="5">
        <f>SUM(E702:E704)</f>
        <v>31.369500000000002</v>
      </c>
      <c r="F701" s="5">
        <f>SUM(F702:F704)</f>
        <v>538.49849999999992</v>
      </c>
      <c r="G701" s="5">
        <f>F701/B701*100</f>
        <v>351.95980392156855</v>
      </c>
    </row>
    <row r="702" spans="1:7" ht="15.75" x14ac:dyDescent="0.25">
      <c r="A702" s="59" t="s">
        <v>396</v>
      </c>
      <c r="B702" s="60">
        <v>150</v>
      </c>
      <c r="C702" s="17">
        <v>11.890499999999999</v>
      </c>
      <c r="D702" s="17">
        <v>39.727499999999999</v>
      </c>
      <c r="E702" s="17">
        <v>31.063500000000001</v>
      </c>
      <c r="F702" s="17">
        <v>529.82849999999996</v>
      </c>
      <c r="G702" s="18"/>
    </row>
    <row r="703" spans="1:7" ht="15.75" x14ac:dyDescent="0.25">
      <c r="A703" s="59" t="s">
        <v>397</v>
      </c>
      <c r="B703" s="60">
        <v>3</v>
      </c>
      <c r="C703" s="10">
        <v>0.72899999999999998</v>
      </c>
      <c r="D703" s="10">
        <v>0.45</v>
      </c>
      <c r="E703" s="10">
        <v>0.30599999999999999</v>
      </c>
      <c r="F703" s="10">
        <v>8.67</v>
      </c>
      <c r="G703" s="20"/>
    </row>
    <row r="704" spans="1:7" ht="31.5" x14ac:dyDescent="0.25">
      <c r="A704" s="70" t="s">
        <v>398</v>
      </c>
      <c r="B704" s="92"/>
      <c r="C704" s="93"/>
      <c r="D704" s="93"/>
      <c r="E704" s="62"/>
      <c r="F704" s="93"/>
      <c r="G704" s="9"/>
    </row>
    <row r="705" spans="1:7" ht="15.75" x14ac:dyDescent="0.25">
      <c r="A705" s="3" t="s">
        <v>399</v>
      </c>
      <c r="B705" s="4">
        <v>287</v>
      </c>
      <c r="C705" s="5">
        <f>SUM(C706:C710)</f>
        <v>18.675260000000002</v>
      </c>
      <c r="D705" s="5">
        <f>SUM(D706:D710)</f>
        <v>29.149227499999999</v>
      </c>
      <c r="E705" s="5">
        <f>SUM(E706:E710)</f>
        <v>91.606012500000006</v>
      </c>
      <c r="F705" s="5">
        <f>SUM(F706:F710)</f>
        <v>706.69995000000006</v>
      </c>
      <c r="G705" s="15">
        <f>F705/B705*100</f>
        <v>246.23691637630665</v>
      </c>
    </row>
    <row r="706" spans="1:7" ht="15.75" x14ac:dyDescent="0.25">
      <c r="A706" s="59" t="s">
        <v>400</v>
      </c>
      <c r="B706" s="60">
        <v>250</v>
      </c>
      <c r="C706" s="17">
        <v>17.309259999999998</v>
      </c>
      <c r="D706" s="17">
        <v>26.7812275</v>
      </c>
      <c r="E706" s="17">
        <v>88.423012499999999</v>
      </c>
      <c r="F706" s="17">
        <v>665.34995000000004</v>
      </c>
      <c r="G706" s="18"/>
    </row>
    <row r="707" spans="1:7" ht="15.75" x14ac:dyDescent="0.25">
      <c r="A707" s="59" t="s">
        <v>237</v>
      </c>
      <c r="B707" s="60">
        <v>20</v>
      </c>
      <c r="C707" s="10">
        <v>0.16</v>
      </c>
      <c r="D707" s="10">
        <v>0.08</v>
      </c>
      <c r="E707" s="10">
        <v>1.5</v>
      </c>
      <c r="F707" s="10">
        <v>8.1999999999999993</v>
      </c>
      <c r="G707" s="20"/>
    </row>
    <row r="708" spans="1:7" ht="15.75" x14ac:dyDescent="0.25">
      <c r="A708" s="59" t="s">
        <v>401</v>
      </c>
      <c r="B708" s="60">
        <v>10</v>
      </c>
      <c r="C708" s="10">
        <v>0.1</v>
      </c>
      <c r="D708" s="10">
        <v>0.05</v>
      </c>
      <c r="E708" s="10">
        <v>0.66</v>
      </c>
      <c r="F708" s="10">
        <v>3.9</v>
      </c>
      <c r="G708" s="20"/>
    </row>
    <row r="709" spans="1:7" ht="15.75" x14ac:dyDescent="0.25">
      <c r="A709" s="59" t="s">
        <v>116</v>
      </c>
      <c r="B709" s="60">
        <v>5</v>
      </c>
      <c r="C709" s="10">
        <v>1.03</v>
      </c>
      <c r="D709" s="10">
        <v>2.2200000000000002</v>
      </c>
      <c r="E709" s="10">
        <v>0.88500000000000001</v>
      </c>
      <c r="F709" s="10">
        <v>27.85</v>
      </c>
      <c r="G709" s="20"/>
    </row>
    <row r="710" spans="1:7" ht="15.75" x14ac:dyDescent="0.25">
      <c r="A710" s="59" t="s">
        <v>239</v>
      </c>
      <c r="B710" s="60">
        <v>2</v>
      </c>
      <c r="C710" s="10">
        <v>7.5999999999999998E-2</v>
      </c>
      <c r="D710" s="10">
        <v>1.7999999999999999E-2</v>
      </c>
      <c r="E710" s="10">
        <v>0.13800000000000001</v>
      </c>
      <c r="F710" s="10">
        <v>1.4</v>
      </c>
      <c r="G710" s="20"/>
    </row>
    <row r="711" spans="1:7" ht="31.5" x14ac:dyDescent="0.25">
      <c r="A711" s="70" t="s">
        <v>402</v>
      </c>
      <c r="B711" s="92"/>
      <c r="C711" s="93"/>
      <c r="D711" s="93"/>
      <c r="E711" s="62"/>
      <c r="F711" s="93"/>
      <c r="G711" s="9"/>
    </row>
    <row r="712" spans="1:7" ht="15.75" x14ac:dyDescent="0.25">
      <c r="A712" s="3" t="s">
        <v>403</v>
      </c>
      <c r="B712" s="4">
        <v>187</v>
      </c>
      <c r="C712" s="5">
        <f>SUM(C713:C718)</f>
        <v>9.5903999999999989</v>
      </c>
      <c r="D712" s="5">
        <f>SUM(D713:D718)</f>
        <v>42.826369999999997</v>
      </c>
      <c r="E712" s="5">
        <f>SUM(E713:E718)</f>
        <v>45.328040000000001</v>
      </c>
      <c r="F712" s="5">
        <f>SUM(F713:F718)</f>
        <v>608.76584999999989</v>
      </c>
      <c r="G712" s="15">
        <f>F712/B712*100</f>
        <v>325.54323529411755</v>
      </c>
    </row>
    <row r="713" spans="1:7" ht="15.75" x14ac:dyDescent="0.25">
      <c r="A713" s="59" t="s">
        <v>404</v>
      </c>
      <c r="B713" s="60">
        <v>150</v>
      </c>
      <c r="C713" s="17">
        <v>8.9741999999999997</v>
      </c>
      <c r="D713" s="17">
        <v>37.645769999999999</v>
      </c>
      <c r="E713" s="17">
        <v>30.799440000000001</v>
      </c>
      <c r="F713" s="17">
        <v>500.58584999999999</v>
      </c>
      <c r="G713" s="18"/>
    </row>
    <row r="714" spans="1:7" ht="15.75" x14ac:dyDescent="0.25">
      <c r="A714" s="59" t="s">
        <v>405</v>
      </c>
      <c r="B714" s="60">
        <v>20</v>
      </c>
      <c r="C714" s="10">
        <v>0.2878</v>
      </c>
      <c r="D714" s="10">
        <v>5.0119999999999996</v>
      </c>
      <c r="E714" s="10">
        <v>12.035600000000001</v>
      </c>
      <c r="F714" s="10">
        <v>94.325999999999993</v>
      </c>
      <c r="G714" s="20"/>
    </row>
    <row r="715" spans="1:7" ht="15.75" x14ac:dyDescent="0.25">
      <c r="A715" s="59" t="s">
        <v>237</v>
      </c>
      <c r="B715" s="60">
        <v>15</v>
      </c>
      <c r="C715" s="10">
        <v>0.12</v>
      </c>
      <c r="D715" s="10">
        <v>0.06</v>
      </c>
      <c r="E715" s="10">
        <v>1.125</v>
      </c>
      <c r="F715" s="10">
        <v>6.15</v>
      </c>
      <c r="G715" s="20"/>
    </row>
    <row r="716" spans="1:7" ht="15.75" x14ac:dyDescent="0.25">
      <c r="A716" s="59" t="s">
        <v>406</v>
      </c>
      <c r="B716" s="60">
        <v>1</v>
      </c>
      <c r="C716" s="10">
        <v>0.16339999999999999</v>
      </c>
      <c r="D716" s="10">
        <v>9.8599999999999993E-2</v>
      </c>
      <c r="E716" s="10">
        <v>1.028</v>
      </c>
      <c r="F716" s="10">
        <v>5.6539999999999999</v>
      </c>
      <c r="G716" s="20"/>
    </row>
    <row r="717" spans="1:7" ht="15.75" x14ac:dyDescent="0.25">
      <c r="A717" s="59" t="s">
        <v>407</v>
      </c>
      <c r="B717" s="60">
        <v>1</v>
      </c>
      <c r="C717" s="10">
        <v>4.4999999999999998E-2</v>
      </c>
      <c r="D717" s="10">
        <v>0.01</v>
      </c>
      <c r="E717" s="10">
        <v>0.34</v>
      </c>
      <c r="F717" s="10">
        <v>2.0499999999999998</v>
      </c>
      <c r="G717" s="20"/>
    </row>
    <row r="718" spans="1:7" ht="47.25" x14ac:dyDescent="0.25">
      <c r="A718" s="70" t="s">
        <v>408</v>
      </c>
      <c r="B718" s="92"/>
      <c r="C718" s="93"/>
      <c r="D718" s="93"/>
      <c r="E718" s="62"/>
      <c r="F718" s="93"/>
      <c r="G718" s="9"/>
    </row>
    <row r="719" spans="1:7" ht="15.75" x14ac:dyDescent="0.25">
      <c r="A719" s="3" t="s">
        <v>409</v>
      </c>
      <c r="B719" s="4">
        <v>171</v>
      </c>
      <c r="C719" s="5">
        <f>SUM(C720:C725)</f>
        <v>9.9597999999999995</v>
      </c>
      <c r="D719" s="5">
        <f>SUM(D720:D725)</f>
        <v>35.785799999999995</v>
      </c>
      <c r="E719" s="5">
        <f>SUM(E720:E725)</f>
        <v>44.555799999999998</v>
      </c>
      <c r="F719" s="5">
        <f>SUM(F720:F725)</f>
        <v>550.4674</v>
      </c>
      <c r="G719" s="15">
        <f>F719/B719*100</f>
        <v>321.91076023391815</v>
      </c>
    </row>
    <row r="720" spans="1:7" ht="15.75" x14ac:dyDescent="0.25">
      <c r="A720" s="59" t="s">
        <v>410</v>
      </c>
      <c r="B720" s="60">
        <v>90</v>
      </c>
      <c r="C720" s="17">
        <v>6.6006</v>
      </c>
      <c r="D720" s="17">
        <v>26.506799999999998</v>
      </c>
      <c r="E720" s="17">
        <v>26.818200000000001</v>
      </c>
      <c r="F720" s="17">
        <v>377.66699999999997</v>
      </c>
      <c r="G720" s="18"/>
    </row>
    <row r="721" spans="1:7" ht="15.75" x14ac:dyDescent="0.25">
      <c r="A721" s="59" t="s">
        <v>411</v>
      </c>
      <c r="B721" s="60">
        <v>20</v>
      </c>
      <c r="C721" s="10">
        <v>0.97919999999999996</v>
      </c>
      <c r="D721" s="10">
        <v>0.47599999999999998</v>
      </c>
      <c r="E721" s="10">
        <v>4.0575999999999999</v>
      </c>
      <c r="F721" s="10">
        <v>24.470400000000001</v>
      </c>
      <c r="G721" s="20"/>
    </row>
    <row r="722" spans="1:7" ht="15.75" x14ac:dyDescent="0.25">
      <c r="A722" s="59" t="s">
        <v>412</v>
      </c>
      <c r="B722" s="60">
        <v>10</v>
      </c>
      <c r="C722" s="10">
        <v>0.94</v>
      </c>
      <c r="D722" s="10">
        <v>3.8</v>
      </c>
      <c r="E722" s="10">
        <v>3</v>
      </c>
      <c r="F722" s="10">
        <v>53</v>
      </c>
      <c r="G722" s="20"/>
    </row>
    <row r="723" spans="1:7" ht="15.75" x14ac:dyDescent="0.25">
      <c r="A723" s="59" t="s">
        <v>413</v>
      </c>
      <c r="B723" s="60">
        <v>50</v>
      </c>
      <c r="C723" s="10">
        <v>1.4</v>
      </c>
      <c r="D723" s="10">
        <v>5</v>
      </c>
      <c r="E723" s="10">
        <v>10</v>
      </c>
      <c r="F723" s="10">
        <v>92.5</v>
      </c>
      <c r="G723" s="20"/>
    </row>
    <row r="724" spans="1:7" ht="15.75" x14ac:dyDescent="0.25">
      <c r="A724" s="59" t="s">
        <v>414</v>
      </c>
      <c r="B724" s="60">
        <v>1</v>
      </c>
      <c r="C724" s="10">
        <v>0.04</v>
      </c>
      <c r="D724" s="10">
        <v>3.0000000000000001E-3</v>
      </c>
      <c r="E724" s="10">
        <v>0.68</v>
      </c>
      <c r="F724" s="10">
        <v>2.83</v>
      </c>
      <c r="G724" s="20"/>
    </row>
    <row r="725" spans="1:7" ht="15.75" x14ac:dyDescent="0.25">
      <c r="A725" s="59" t="s">
        <v>415</v>
      </c>
      <c r="B725" s="78">
        <v>0.2</v>
      </c>
      <c r="C725" s="12">
        <v>0</v>
      </c>
      <c r="D725" s="12">
        <v>0</v>
      </c>
      <c r="E725" s="12">
        <v>0</v>
      </c>
      <c r="F725" s="12">
        <v>0</v>
      </c>
      <c r="G725" s="20"/>
    </row>
    <row r="726" spans="1:7" ht="31.5" x14ac:dyDescent="0.25">
      <c r="A726" s="100" t="s">
        <v>416</v>
      </c>
      <c r="B726" s="101"/>
      <c r="C726" s="13"/>
      <c r="D726" s="13"/>
      <c r="E726" s="12"/>
      <c r="F726" s="13"/>
      <c r="G726" s="102"/>
    </row>
    <row r="727" spans="1:7" s="129" customFormat="1" ht="19.5" customHeight="1" x14ac:dyDescent="0.25">
      <c r="A727" s="130" t="s">
        <v>551</v>
      </c>
      <c r="B727" s="131" t="s">
        <v>555</v>
      </c>
      <c r="C727" s="132">
        <v>7</v>
      </c>
      <c r="D727" s="132">
        <v>1</v>
      </c>
      <c r="E727" s="132">
        <v>58</v>
      </c>
      <c r="F727" s="132">
        <v>270</v>
      </c>
      <c r="G727" s="133">
        <v>27</v>
      </c>
    </row>
    <row r="728" spans="1:7" s="129" customFormat="1" ht="19.5" customHeight="1" x14ac:dyDescent="0.25">
      <c r="A728" s="130" t="s">
        <v>552</v>
      </c>
      <c r="B728" s="131" t="s">
        <v>555</v>
      </c>
      <c r="C728" s="132">
        <v>6</v>
      </c>
      <c r="D728" s="132">
        <v>3</v>
      </c>
      <c r="E728" s="132">
        <v>74</v>
      </c>
      <c r="F728" s="132">
        <v>350</v>
      </c>
      <c r="G728" s="133">
        <v>35</v>
      </c>
    </row>
    <row r="729" spans="1:7" ht="15.75" x14ac:dyDescent="0.25">
      <c r="A729" s="103" t="s">
        <v>417</v>
      </c>
      <c r="B729" s="4">
        <v>70</v>
      </c>
      <c r="C729" s="51">
        <v>6</v>
      </c>
      <c r="D729" s="51">
        <v>43</v>
      </c>
      <c r="E729" s="5">
        <v>30</v>
      </c>
      <c r="F729" s="51">
        <v>541</v>
      </c>
      <c r="G729" s="51">
        <v>795.59</v>
      </c>
    </row>
    <row r="730" spans="1:7" ht="21" x14ac:dyDescent="0.25">
      <c r="A730" s="200" t="s">
        <v>418</v>
      </c>
      <c r="B730" s="201"/>
      <c r="C730" s="201"/>
      <c r="D730" s="201"/>
      <c r="E730" s="201"/>
      <c r="F730" s="201"/>
      <c r="G730" s="202"/>
    </row>
    <row r="731" spans="1:7" ht="15.75" x14ac:dyDescent="0.25">
      <c r="A731" s="3" t="s">
        <v>419</v>
      </c>
      <c r="B731" s="4">
        <v>71</v>
      </c>
      <c r="C731" s="5">
        <f>SUM(C732:C736)</f>
        <v>4.1891999999999996</v>
      </c>
      <c r="D731" s="5">
        <f>SUM(D732:D736)</f>
        <v>6.2290000000000001</v>
      </c>
      <c r="E731" s="5">
        <f>SUM(E732:E736)</f>
        <v>14.3573</v>
      </c>
      <c r="F731" s="5">
        <f>SUM(F732:F736)</f>
        <v>132.97899999999998</v>
      </c>
      <c r="G731" s="5">
        <f>F731/B731*100</f>
        <v>187.29436619718308</v>
      </c>
    </row>
    <row r="732" spans="1:7" ht="15.75" x14ac:dyDescent="0.25">
      <c r="A732" s="59" t="s">
        <v>420</v>
      </c>
      <c r="B732" s="38">
        <v>30</v>
      </c>
      <c r="C732" s="9">
        <v>1.65</v>
      </c>
      <c r="D732" s="9">
        <v>0.81</v>
      </c>
      <c r="E732" s="9">
        <v>3.78</v>
      </c>
      <c r="F732" s="10">
        <v>30.9</v>
      </c>
      <c r="G732" s="9"/>
    </row>
    <row r="733" spans="1:7" ht="15.75" x14ac:dyDescent="0.25">
      <c r="A733" s="59" t="s">
        <v>136</v>
      </c>
      <c r="B733" s="38">
        <v>4</v>
      </c>
      <c r="C733" s="9">
        <v>0.52</v>
      </c>
      <c r="D733" s="10">
        <v>0.124</v>
      </c>
      <c r="E733" s="9">
        <v>0.4</v>
      </c>
      <c r="F733" s="9">
        <v>3.6840000000000002</v>
      </c>
      <c r="G733" s="9"/>
    </row>
    <row r="734" spans="1:7" ht="15.75" x14ac:dyDescent="0.25">
      <c r="A734" s="59" t="s">
        <v>253</v>
      </c>
      <c r="B734" s="38">
        <v>10</v>
      </c>
      <c r="C734" s="10">
        <v>0.34720000000000001</v>
      </c>
      <c r="D734" s="10">
        <v>5.2930000000000001</v>
      </c>
      <c r="E734" s="10">
        <v>0.60729999999999995</v>
      </c>
      <c r="F734" s="10">
        <v>51.664999999999999</v>
      </c>
      <c r="G734" s="9"/>
    </row>
    <row r="735" spans="1:7" ht="15.75" x14ac:dyDescent="0.25">
      <c r="A735" s="59" t="s">
        <v>421</v>
      </c>
      <c r="B735" s="38">
        <v>2</v>
      </c>
      <c r="C735" s="10">
        <v>0.92200000000000004</v>
      </c>
      <c r="D735" s="10">
        <v>2E-3</v>
      </c>
      <c r="E735" s="10">
        <v>0.82</v>
      </c>
      <c r="F735" s="10">
        <v>6.98</v>
      </c>
      <c r="G735" s="9"/>
    </row>
    <row r="736" spans="1:7" ht="15.75" x14ac:dyDescent="0.25">
      <c r="A736" s="59" t="s">
        <v>422</v>
      </c>
      <c r="B736" s="38">
        <v>25</v>
      </c>
      <c r="C736" s="10">
        <v>0.75</v>
      </c>
      <c r="D736" s="10">
        <v>0</v>
      </c>
      <c r="E736" s="10">
        <v>8.75</v>
      </c>
      <c r="F736" s="10">
        <v>39.75</v>
      </c>
      <c r="G736" s="9"/>
    </row>
    <row r="737" spans="1:7" ht="15.75" x14ac:dyDescent="0.25">
      <c r="A737" s="59" t="s">
        <v>423</v>
      </c>
      <c r="B737" s="38"/>
      <c r="C737" s="10"/>
      <c r="D737" s="10"/>
      <c r="E737" s="10"/>
      <c r="F737" s="10"/>
      <c r="G737" s="9"/>
    </row>
    <row r="738" spans="1:7" ht="15.75" x14ac:dyDescent="0.25">
      <c r="A738" s="59" t="s">
        <v>424</v>
      </c>
      <c r="B738" s="101"/>
      <c r="C738" s="12"/>
      <c r="D738" s="12"/>
      <c r="E738" s="12"/>
      <c r="F738" s="12"/>
      <c r="G738" s="13"/>
    </row>
    <row r="739" spans="1:7" ht="15.75" x14ac:dyDescent="0.25">
      <c r="A739" s="89" t="s">
        <v>425</v>
      </c>
      <c r="B739" s="38"/>
      <c r="C739" s="10"/>
      <c r="D739" s="10"/>
      <c r="E739" s="10"/>
      <c r="F739" s="10"/>
      <c r="G739" s="9"/>
    </row>
    <row r="740" spans="1:7" ht="31.5" x14ac:dyDescent="0.25">
      <c r="A740" s="70" t="s">
        <v>426</v>
      </c>
      <c r="B740" s="92"/>
      <c r="C740" s="93"/>
      <c r="D740" s="93"/>
      <c r="E740" s="62"/>
      <c r="F740" s="93"/>
      <c r="G740" s="23"/>
    </row>
    <row r="741" spans="1:7" ht="15.75" x14ac:dyDescent="0.25">
      <c r="A741" s="3" t="s">
        <v>427</v>
      </c>
      <c r="B741" s="4">
        <v>68</v>
      </c>
      <c r="C741" s="5">
        <f>SUM(C742:C749)</f>
        <v>9.4704000000000015</v>
      </c>
      <c r="D741" s="5">
        <f>SUM(D742:D749)</f>
        <v>6.032</v>
      </c>
      <c r="E741" s="5">
        <f>SUM(E742:E749)</f>
        <v>10.3003</v>
      </c>
      <c r="F741" s="5">
        <f>SUM(F742:F749)</f>
        <v>135.48749999999998</v>
      </c>
      <c r="G741" s="5">
        <f>F741/B741*100</f>
        <v>199.24632352941174</v>
      </c>
    </row>
    <row r="742" spans="1:7" ht="15.75" x14ac:dyDescent="0.25">
      <c r="A742" s="59" t="s">
        <v>422</v>
      </c>
      <c r="B742" s="38">
        <v>25</v>
      </c>
      <c r="C742" s="9">
        <v>0.75</v>
      </c>
      <c r="D742" s="9">
        <v>0</v>
      </c>
      <c r="E742" s="9">
        <v>8.75</v>
      </c>
      <c r="F742" s="10">
        <v>39.75</v>
      </c>
      <c r="G742" s="9"/>
    </row>
    <row r="743" spans="1:7" ht="15.75" x14ac:dyDescent="0.25">
      <c r="A743" s="59" t="s">
        <v>428</v>
      </c>
      <c r="B743" s="38">
        <v>30</v>
      </c>
      <c r="C743" s="9">
        <v>7.2</v>
      </c>
      <c r="D743" s="10">
        <v>0.18</v>
      </c>
      <c r="E743" s="9">
        <v>0</v>
      </c>
      <c r="F743" s="9">
        <v>30.6</v>
      </c>
      <c r="G743" s="9"/>
    </row>
    <row r="744" spans="1:7" ht="15.75" x14ac:dyDescent="0.25">
      <c r="A744" s="59" t="s">
        <v>251</v>
      </c>
      <c r="B744" s="38">
        <v>1</v>
      </c>
      <c r="C744" s="10">
        <v>0.25119999999999998</v>
      </c>
      <c r="D744" s="10">
        <v>0.55700000000000005</v>
      </c>
      <c r="E744" s="10">
        <v>0.123</v>
      </c>
      <c r="F744" s="10">
        <v>6.4924999999999997</v>
      </c>
      <c r="G744" s="9"/>
    </row>
    <row r="745" spans="1:7" ht="15.75" x14ac:dyDescent="0.25">
      <c r="A745" s="59" t="s">
        <v>253</v>
      </c>
      <c r="B745" s="38">
        <v>10</v>
      </c>
      <c r="C745" s="10">
        <v>0.34720000000000001</v>
      </c>
      <c r="D745" s="10">
        <v>5.2930000000000001</v>
      </c>
      <c r="E745" s="10">
        <v>0.60729999999999995</v>
      </c>
      <c r="F745" s="10">
        <v>51.664999999999999</v>
      </c>
      <c r="G745" s="9"/>
    </row>
    <row r="746" spans="1:7" ht="15.75" x14ac:dyDescent="0.25">
      <c r="A746" s="59" t="s">
        <v>421</v>
      </c>
      <c r="B746" s="38">
        <v>2</v>
      </c>
      <c r="C746" s="10">
        <v>0.92200000000000004</v>
      </c>
      <c r="D746" s="10">
        <v>2E-3</v>
      </c>
      <c r="E746" s="10">
        <v>0.82</v>
      </c>
      <c r="F746" s="10">
        <v>6.98</v>
      </c>
      <c r="G746" s="9"/>
    </row>
    <row r="747" spans="1:7" ht="15.75" x14ac:dyDescent="0.25">
      <c r="A747" s="59" t="s">
        <v>423</v>
      </c>
      <c r="B747" s="38"/>
      <c r="C747" s="10"/>
      <c r="D747" s="10"/>
      <c r="E747" s="10"/>
      <c r="F747" s="10"/>
      <c r="G747" s="9"/>
    </row>
    <row r="748" spans="1:7" ht="15.75" x14ac:dyDescent="0.25">
      <c r="A748" s="59" t="s">
        <v>424</v>
      </c>
      <c r="B748" s="38"/>
      <c r="C748" s="10"/>
      <c r="D748" s="10"/>
      <c r="E748" s="10"/>
      <c r="F748" s="10"/>
      <c r="G748" s="9"/>
    </row>
    <row r="749" spans="1:7" ht="15.75" x14ac:dyDescent="0.25">
      <c r="A749" s="89" t="s">
        <v>425</v>
      </c>
      <c r="B749" s="38"/>
      <c r="C749" s="10"/>
      <c r="D749" s="10"/>
      <c r="E749" s="10"/>
      <c r="F749" s="10"/>
      <c r="G749" s="9"/>
    </row>
    <row r="750" spans="1:7" ht="31.5" x14ac:dyDescent="0.25">
      <c r="A750" s="70" t="s">
        <v>429</v>
      </c>
      <c r="B750" s="92"/>
      <c r="C750" s="93"/>
      <c r="D750" s="93"/>
      <c r="E750" s="62"/>
      <c r="F750" s="93"/>
      <c r="G750" s="9"/>
    </row>
    <row r="751" spans="1:7" ht="15.75" x14ac:dyDescent="0.25">
      <c r="A751" s="3" t="s">
        <v>430</v>
      </c>
      <c r="B751" s="4">
        <v>68</v>
      </c>
      <c r="C751" s="5">
        <f>SUM(C752:C759)</f>
        <v>8.0904000000000007</v>
      </c>
      <c r="D751" s="5">
        <f>SUM(D752:D759)</f>
        <v>9.3440000000000012</v>
      </c>
      <c r="E751" s="5">
        <f>SUM(E752:E759)</f>
        <v>10.6813</v>
      </c>
      <c r="F751" s="5">
        <f>SUM(F752:F759)</f>
        <v>158.02949999999998</v>
      </c>
      <c r="G751" s="5">
        <f>F751/B751*100</f>
        <v>232.39632352941175</v>
      </c>
    </row>
    <row r="752" spans="1:7" ht="15.75" x14ac:dyDescent="0.25">
      <c r="A752" s="89" t="s">
        <v>11</v>
      </c>
      <c r="B752" s="38">
        <v>30</v>
      </c>
      <c r="C752" s="9">
        <v>5.82</v>
      </c>
      <c r="D752" s="9">
        <v>3.492</v>
      </c>
      <c r="E752" s="9">
        <v>0.38100000000000001</v>
      </c>
      <c r="F752" s="10">
        <v>53.142000000000003</v>
      </c>
      <c r="G752" s="9"/>
    </row>
    <row r="753" spans="1:7" ht="15.75" x14ac:dyDescent="0.25">
      <c r="A753" s="89" t="s">
        <v>422</v>
      </c>
      <c r="B753" s="38">
        <v>25</v>
      </c>
      <c r="C753" s="9">
        <v>0.75</v>
      </c>
      <c r="D753" s="10">
        <v>0</v>
      </c>
      <c r="E753" s="9">
        <v>8.75</v>
      </c>
      <c r="F753" s="9">
        <v>39.75</v>
      </c>
      <c r="G753" s="9"/>
    </row>
    <row r="754" spans="1:7" ht="15.75" x14ac:dyDescent="0.25">
      <c r="A754" s="89" t="s">
        <v>251</v>
      </c>
      <c r="B754" s="38">
        <v>1</v>
      </c>
      <c r="C754" s="10">
        <v>0.25119999999999998</v>
      </c>
      <c r="D754" s="10">
        <v>0.55700000000000005</v>
      </c>
      <c r="E754" s="10">
        <v>0.123</v>
      </c>
      <c r="F754" s="10">
        <v>6.4924999999999997</v>
      </c>
      <c r="G754" s="9"/>
    </row>
    <row r="755" spans="1:7" ht="15.75" x14ac:dyDescent="0.25">
      <c r="A755" s="89" t="s">
        <v>431</v>
      </c>
      <c r="B755" s="38">
        <v>10</v>
      </c>
      <c r="C755" s="10">
        <v>0.34720000000000001</v>
      </c>
      <c r="D755" s="10">
        <v>5.2930000000000001</v>
      </c>
      <c r="E755" s="10">
        <v>0.60729999999999995</v>
      </c>
      <c r="F755" s="10">
        <v>51.664999999999999</v>
      </c>
      <c r="G755" s="9"/>
    </row>
    <row r="756" spans="1:7" ht="15.75" x14ac:dyDescent="0.25">
      <c r="A756" s="89" t="s">
        <v>432</v>
      </c>
      <c r="B756" s="38">
        <v>2</v>
      </c>
      <c r="C756" s="10">
        <v>0.92200000000000004</v>
      </c>
      <c r="D756" s="10">
        <v>2E-3</v>
      </c>
      <c r="E756" s="10">
        <v>0.82</v>
      </c>
      <c r="F756" s="10">
        <v>6.98</v>
      </c>
      <c r="G756" s="9"/>
    </row>
    <row r="757" spans="1:7" ht="15.75" x14ac:dyDescent="0.25">
      <c r="A757" s="59" t="s">
        <v>423</v>
      </c>
      <c r="B757" s="38"/>
      <c r="C757" s="10"/>
      <c r="D757" s="10"/>
      <c r="E757" s="10"/>
      <c r="F757" s="10"/>
      <c r="G757" s="9"/>
    </row>
    <row r="758" spans="1:7" ht="15.75" x14ac:dyDescent="0.25">
      <c r="A758" s="89" t="s">
        <v>424</v>
      </c>
      <c r="B758" s="38"/>
      <c r="C758" s="10"/>
      <c r="D758" s="10"/>
      <c r="E758" s="10"/>
      <c r="F758" s="10"/>
      <c r="G758" s="9"/>
    </row>
    <row r="759" spans="1:7" ht="15.75" x14ac:dyDescent="0.25">
      <c r="A759" s="89" t="s">
        <v>425</v>
      </c>
      <c r="B759" s="38"/>
      <c r="C759" s="10"/>
      <c r="D759" s="10"/>
      <c r="E759" s="10"/>
      <c r="F759" s="10"/>
      <c r="G759" s="9"/>
    </row>
    <row r="760" spans="1:7" ht="31.5" x14ac:dyDescent="0.25">
      <c r="A760" s="70" t="s">
        <v>429</v>
      </c>
      <c r="B760" s="92"/>
      <c r="C760" s="93"/>
      <c r="D760" s="93"/>
      <c r="E760" s="62"/>
      <c r="F760" s="93"/>
      <c r="G760" s="9"/>
    </row>
    <row r="761" spans="1:7" ht="15.75" x14ac:dyDescent="0.25">
      <c r="A761" s="3" t="s">
        <v>433</v>
      </c>
      <c r="B761" s="4">
        <v>303</v>
      </c>
      <c r="C761" s="5">
        <f>SUM(C762:C771)</f>
        <v>20.007400000000001</v>
      </c>
      <c r="D761" s="5">
        <f>SUM(D762:D771)</f>
        <v>13.074199999999999</v>
      </c>
      <c r="E761" s="5">
        <f>SUM(E762:E771)</f>
        <v>48.989799999999995</v>
      </c>
      <c r="F761" s="5">
        <f>SUM(F762:F771)</f>
        <v>403.65449999999998</v>
      </c>
      <c r="G761" s="5">
        <f>F761/B761*100</f>
        <v>133.21930693069305</v>
      </c>
    </row>
    <row r="762" spans="1:7" ht="15.75" x14ac:dyDescent="0.25">
      <c r="A762" s="59" t="s">
        <v>434</v>
      </c>
      <c r="B762" s="38">
        <v>80</v>
      </c>
      <c r="C762" s="9">
        <v>2.4</v>
      </c>
      <c r="D762" s="9">
        <v>0</v>
      </c>
      <c r="E762" s="9">
        <v>28</v>
      </c>
      <c r="F762" s="10">
        <v>127.2</v>
      </c>
      <c r="G762" s="9"/>
    </row>
    <row r="763" spans="1:7" ht="15.75" x14ac:dyDescent="0.25">
      <c r="A763" s="59" t="s">
        <v>44</v>
      </c>
      <c r="B763" s="38">
        <v>50</v>
      </c>
      <c r="C763" s="9">
        <v>9.6</v>
      </c>
      <c r="D763" s="10">
        <v>0.3</v>
      </c>
      <c r="E763" s="9">
        <v>0</v>
      </c>
      <c r="F763" s="9">
        <v>44.5</v>
      </c>
      <c r="G763" s="9"/>
    </row>
    <row r="764" spans="1:7" ht="15.75" x14ac:dyDescent="0.25">
      <c r="A764" s="59" t="s">
        <v>435</v>
      </c>
      <c r="B764" s="38">
        <v>30</v>
      </c>
      <c r="C764" s="10">
        <v>0.75</v>
      </c>
      <c r="D764" s="10">
        <v>0.36</v>
      </c>
      <c r="E764" s="10">
        <v>3.15</v>
      </c>
      <c r="F764" s="10">
        <v>20.7</v>
      </c>
      <c r="G764" s="9"/>
    </row>
    <row r="765" spans="1:7" ht="15.75" x14ac:dyDescent="0.25">
      <c r="A765" s="59" t="s">
        <v>205</v>
      </c>
      <c r="B765" s="38">
        <v>20</v>
      </c>
      <c r="C765" s="10">
        <v>0.46</v>
      </c>
      <c r="D765" s="10">
        <v>8.06</v>
      </c>
      <c r="E765" s="10">
        <v>2.94</v>
      </c>
      <c r="F765" s="10">
        <v>89.2</v>
      </c>
      <c r="G765" s="9"/>
    </row>
    <row r="766" spans="1:7" ht="15.75" x14ac:dyDescent="0.25">
      <c r="A766" s="59" t="s">
        <v>436</v>
      </c>
      <c r="B766" s="38">
        <v>10</v>
      </c>
      <c r="C766" s="10">
        <v>0.2442</v>
      </c>
      <c r="D766" s="10">
        <v>0.47520000000000001</v>
      </c>
      <c r="E766" s="10">
        <v>5.6768000000000001</v>
      </c>
      <c r="F766" s="10">
        <v>27.181999999999999</v>
      </c>
      <c r="G766" s="9"/>
    </row>
    <row r="767" spans="1:7" ht="15.75" x14ac:dyDescent="0.25">
      <c r="A767" s="59" t="s">
        <v>153</v>
      </c>
      <c r="B767" s="38">
        <v>40</v>
      </c>
      <c r="C767" s="10">
        <v>0.32</v>
      </c>
      <c r="D767" s="10">
        <v>0.04</v>
      </c>
      <c r="E767" s="10">
        <v>1.1200000000000001</v>
      </c>
      <c r="F767" s="10">
        <v>6</v>
      </c>
      <c r="G767" s="9"/>
    </row>
    <row r="768" spans="1:7" ht="15.75" x14ac:dyDescent="0.25">
      <c r="A768" s="59" t="s">
        <v>437</v>
      </c>
      <c r="B768" s="38">
        <v>40</v>
      </c>
      <c r="C768" s="10">
        <v>4.76</v>
      </c>
      <c r="D768" s="10">
        <v>2.08</v>
      </c>
      <c r="E768" s="10">
        <v>3.56</v>
      </c>
      <c r="F768" s="10">
        <v>48.4</v>
      </c>
      <c r="G768" s="9"/>
    </row>
    <row r="769" spans="1:7" ht="15.75" x14ac:dyDescent="0.25">
      <c r="A769" s="59" t="s">
        <v>438</v>
      </c>
      <c r="B769" s="38">
        <v>30</v>
      </c>
      <c r="C769" s="10">
        <v>0.3</v>
      </c>
      <c r="D769" s="10">
        <v>1.2</v>
      </c>
      <c r="E769" s="10">
        <v>3.6</v>
      </c>
      <c r="F769" s="10">
        <v>27</v>
      </c>
      <c r="G769" s="9"/>
    </row>
    <row r="770" spans="1:7" ht="15.75" x14ac:dyDescent="0.25">
      <c r="A770" s="59" t="s">
        <v>432</v>
      </c>
      <c r="B770" s="38">
        <v>2</v>
      </c>
      <c r="C770" s="10">
        <v>0.92200000000000004</v>
      </c>
      <c r="D770" s="10">
        <v>2E-3</v>
      </c>
      <c r="E770" s="10">
        <v>0.82</v>
      </c>
      <c r="F770" s="10">
        <v>6.98</v>
      </c>
      <c r="G770" s="9"/>
    </row>
    <row r="771" spans="1:7" ht="15.75" x14ac:dyDescent="0.25">
      <c r="A771" s="59" t="s">
        <v>251</v>
      </c>
      <c r="B771" s="38">
        <v>1</v>
      </c>
      <c r="C771" s="10">
        <v>0.25119999999999998</v>
      </c>
      <c r="D771" s="10">
        <v>0.55700000000000005</v>
      </c>
      <c r="E771" s="10">
        <v>0.123</v>
      </c>
      <c r="F771" s="10">
        <v>6.4924999999999997</v>
      </c>
      <c r="G771" s="9"/>
    </row>
    <row r="772" spans="1:7" ht="31.5" x14ac:dyDescent="0.25">
      <c r="A772" s="70" t="s">
        <v>439</v>
      </c>
      <c r="B772" s="92"/>
      <c r="C772" s="93"/>
      <c r="D772" s="93"/>
      <c r="E772" s="62"/>
      <c r="F772" s="93"/>
      <c r="G772" s="9"/>
    </row>
    <row r="773" spans="1:7" ht="15.75" x14ac:dyDescent="0.25">
      <c r="A773" s="3" t="s">
        <v>440</v>
      </c>
      <c r="B773" s="4">
        <v>323</v>
      </c>
      <c r="C773" s="5">
        <f>SUM(C774:C782)</f>
        <v>20.464849999999998</v>
      </c>
      <c r="D773" s="5">
        <f>SUM(D774:D782)</f>
        <v>29.181649999999998</v>
      </c>
      <c r="E773" s="5">
        <f>SUM(E774:E782)</f>
        <v>27.461099999999998</v>
      </c>
      <c r="F773" s="5">
        <f>SUM(F774:F782)</f>
        <v>439.399</v>
      </c>
      <c r="G773" s="5">
        <f>F773/B773*100</f>
        <v>136.03684210526316</v>
      </c>
    </row>
    <row r="774" spans="1:7" ht="15.75" x14ac:dyDescent="0.25">
      <c r="A774" s="59" t="s">
        <v>434</v>
      </c>
      <c r="B774" s="38">
        <v>80</v>
      </c>
      <c r="C774" s="9">
        <v>1.92</v>
      </c>
      <c r="D774" s="9">
        <v>0.24</v>
      </c>
      <c r="E774" s="9">
        <v>9.44</v>
      </c>
      <c r="F774" s="10">
        <v>43.6</v>
      </c>
      <c r="G774" s="9"/>
    </row>
    <row r="775" spans="1:7" ht="15.75" x14ac:dyDescent="0.25">
      <c r="A775" s="59" t="s">
        <v>11</v>
      </c>
      <c r="B775" s="38">
        <v>50</v>
      </c>
      <c r="C775" s="9">
        <v>9.6999999999999993</v>
      </c>
      <c r="D775" s="10">
        <v>5.82</v>
      </c>
      <c r="E775" s="9">
        <v>0.63500000000000001</v>
      </c>
      <c r="F775" s="9">
        <v>88.57</v>
      </c>
      <c r="G775" s="9"/>
    </row>
    <row r="776" spans="1:7" ht="15.75" x14ac:dyDescent="0.25">
      <c r="A776" s="59" t="s">
        <v>441</v>
      </c>
      <c r="B776" s="38">
        <v>50</v>
      </c>
      <c r="C776" s="10">
        <v>1.1172500000000001</v>
      </c>
      <c r="D776" s="10">
        <v>3.3966500000000002</v>
      </c>
      <c r="E776" s="10">
        <v>3.2685</v>
      </c>
      <c r="F776" s="10">
        <v>49.026499999999999</v>
      </c>
      <c r="G776" s="9"/>
    </row>
    <row r="777" spans="1:7" ht="15.75" x14ac:dyDescent="0.25">
      <c r="A777" s="59" t="s">
        <v>253</v>
      </c>
      <c r="B777" s="38">
        <v>20</v>
      </c>
      <c r="C777" s="10">
        <v>0.69440000000000002</v>
      </c>
      <c r="D777" s="10">
        <v>10.586</v>
      </c>
      <c r="E777" s="10">
        <v>1.2145999999999999</v>
      </c>
      <c r="F777" s="10">
        <v>103.33</v>
      </c>
      <c r="G777" s="9"/>
    </row>
    <row r="778" spans="1:7" ht="15.75" x14ac:dyDescent="0.25">
      <c r="A778" s="59" t="s">
        <v>380</v>
      </c>
      <c r="B778" s="38">
        <v>30</v>
      </c>
      <c r="C778" s="10">
        <v>0.6</v>
      </c>
      <c r="D778" s="10">
        <v>4.5</v>
      </c>
      <c r="E778" s="10">
        <v>2.4</v>
      </c>
      <c r="F778" s="10">
        <v>48</v>
      </c>
      <c r="G778" s="9"/>
    </row>
    <row r="779" spans="1:7" ht="15.75" x14ac:dyDescent="0.25">
      <c r="A779" s="59" t="s">
        <v>437</v>
      </c>
      <c r="B779" s="38">
        <v>40</v>
      </c>
      <c r="C779" s="10">
        <v>4.76</v>
      </c>
      <c r="D779" s="10">
        <v>2.08</v>
      </c>
      <c r="E779" s="10">
        <v>3.56</v>
      </c>
      <c r="F779" s="10">
        <v>48.4</v>
      </c>
      <c r="G779" s="9"/>
    </row>
    <row r="780" spans="1:7" ht="15.75" x14ac:dyDescent="0.25">
      <c r="A780" s="59" t="s">
        <v>438</v>
      </c>
      <c r="B780" s="38">
        <v>50</v>
      </c>
      <c r="C780" s="10">
        <v>0.5</v>
      </c>
      <c r="D780" s="10">
        <v>2</v>
      </c>
      <c r="E780" s="10">
        <v>6</v>
      </c>
      <c r="F780" s="10">
        <v>45</v>
      </c>
      <c r="G780" s="9"/>
    </row>
    <row r="781" spans="1:7" ht="15.75" x14ac:dyDescent="0.25">
      <c r="A781" s="59" t="s">
        <v>432</v>
      </c>
      <c r="B781" s="38">
        <v>2</v>
      </c>
      <c r="C781" s="10">
        <v>0.92200000000000004</v>
      </c>
      <c r="D781" s="10">
        <v>2E-3</v>
      </c>
      <c r="E781" s="10">
        <v>0.82</v>
      </c>
      <c r="F781" s="10">
        <v>6.98</v>
      </c>
      <c r="G781" s="9"/>
    </row>
    <row r="782" spans="1:7" ht="15.75" x14ac:dyDescent="0.25">
      <c r="A782" s="59" t="s">
        <v>251</v>
      </c>
      <c r="B782" s="38">
        <v>1</v>
      </c>
      <c r="C782" s="10">
        <v>0.25119999999999998</v>
      </c>
      <c r="D782" s="10">
        <v>0.55700000000000005</v>
      </c>
      <c r="E782" s="10">
        <v>0.123</v>
      </c>
      <c r="F782" s="10">
        <v>6.4924999999999997</v>
      </c>
      <c r="G782" s="9"/>
    </row>
    <row r="783" spans="1:7" ht="31.5" x14ac:dyDescent="0.25">
      <c r="A783" s="70" t="s">
        <v>442</v>
      </c>
      <c r="B783" s="92"/>
      <c r="C783" s="93"/>
      <c r="D783" s="93"/>
      <c r="E783" s="62"/>
      <c r="F783" s="93"/>
      <c r="G783" s="9"/>
    </row>
    <row r="784" spans="1:7" ht="15.75" x14ac:dyDescent="0.25">
      <c r="A784" s="3" t="s">
        <v>443</v>
      </c>
      <c r="B784" s="4">
        <v>273</v>
      </c>
      <c r="C784" s="5">
        <f>SUM(C785:C794)</f>
        <v>18.808199999999999</v>
      </c>
      <c r="D784" s="5">
        <f>SUM(D785:D794)</f>
        <v>20.681799999999999</v>
      </c>
      <c r="E784" s="5">
        <f>SUM(E785:E794)</f>
        <v>41.8048</v>
      </c>
      <c r="F784" s="5">
        <f>SUM(F785:F794)</f>
        <v>431.26650000000001</v>
      </c>
      <c r="G784" s="5">
        <f>F784/B784*100</f>
        <v>157.97307692307692</v>
      </c>
    </row>
    <row r="785" spans="1:7" ht="15.75" x14ac:dyDescent="0.25">
      <c r="A785" s="59" t="s">
        <v>434</v>
      </c>
      <c r="B785" s="38">
        <v>80</v>
      </c>
      <c r="C785" s="9">
        <v>2.4</v>
      </c>
      <c r="D785" s="9">
        <v>0</v>
      </c>
      <c r="E785" s="9">
        <v>28</v>
      </c>
      <c r="F785" s="10">
        <v>127.2</v>
      </c>
      <c r="G785" s="9"/>
    </row>
    <row r="786" spans="1:7" ht="15.75" x14ac:dyDescent="0.25">
      <c r="A786" s="59" t="s">
        <v>11</v>
      </c>
      <c r="B786" s="38">
        <v>50</v>
      </c>
      <c r="C786" s="9">
        <v>9.6999999999999993</v>
      </c>
      <c r="D786" s="10">
        <v>5.82</v>
      </c>
      <c r="E786" s="9">
        <v>0.63500000000000001</v>
      </c>
      <c r="F786" s="9">
        <v>88.57</v>
      </c>
      <c r="G786" s="9"/>
    </row>
    <row r="787" spans="1:7" ht="15.75" x14ac:dyDescent="0.25">
      <c r="A787" s="59" t="s">
        <v>444</v>
      </c>
      <c r="B787" s="38">
        <v>30</v>
      </c>
      <c r="C787" s="10">
        <v>0.75</v>
      </c>
      <c r="D787" s="10">
        <v>0.36</v>
      </c>
      <c r="E787" s="10">
        <v>3.15</v>
      </c>
      <c r="F787" s="10">
        <v>20.7</v>
      </c>
      <c r="G787" s="9"/>
    </row>
    <row r="788" spans="1:7" ht="15.75" x14ac:dyDescent="0.25">
      <c r="A788" s="59" t="s">
        <v>153</v>
      </c>
      <c r="B788" s="38">
        <v>30</v>
      </c>
      <c r="C788" s="10">
        <v>0.24</v>
      </c>
      <c r="D788" s="10">
        <v>0.03</v>
      </c>
      <c r="E788" s="10">
        <v>0.84</v>
      </c>
      <c r="F788" s="10">
        <v>4.5</v>
      </c>
      <c r="G788" s="9"/>
    </row>
    <row r="789" spans="1:7" ht="15.75" x14ac:dyDescent="0.25">
      <c r="A789" s="59" t="s">
        <v>437</v>
      </c>
      <c r="B789" s="38">
        <v>30</v>
      </c>
      <c r="C789" s="10">
        <v>3.57</v>
      </c>
      <c r="D789" s="10">
        <v>1.56</v>
      </c>
      <c r="E789" s="10">
        <v>2.67</v>
      </c>
      <c r="F789" s="10">
        <v>36.299999999999997</v>
      </c>
      <c r="G789" s="9"/>
    </row>
    <row r="790" spans="1:7" ht="15.75" x14ac:dyDescent="0.25">
      <c r="A790" s="59" t="s">
        <v>445</v>
      </c>
      <c r="B790" s="38">
        <v>10</v>
      </c>
      <c r="C790" s="10">
        <v>0.27500000000000002</v>
      </c>
      <c r="D790" s="10">
        <v>4.2728000000000002</v>
      </c>
      <c r="E790" s="10">
        <v>1.9468000000000001</v>
      </c>
      <c r="F790" s="10">
        <v>47.323999999999998</v>
      </c>
      <c r="G790" s="9"/>
    </row>
    <row r="791" spans="1:7" ht="15.75" x14ac:dyDescent="0.25">
      <c r="A791" s="59" t="s">
        <v>205</v>
      </c>
      <c r="B791" s="38">
        <v>20</v>
      </c>
      <c r="C791" s="10">
        <v>0.46</v>
      </c>
      <c r="D791" s="10">
        <v>8.06</v>
      </c>
      <c r="E791" s="10">
        <v>2.94</v>
      </c>
      <c r="F791" s="10">
        <v>89.2</v>
      </c>
      <c r="G791" s="9"/>
    </row>
    <row r="792" spans="1:7" ht="15.75" x14ac:dyDescent="0.25">
      <c r="A792" s="59" t="s">
        <v>330</v>
      </c>
      <c r="B792" s="38">
        <v>20</v>
      </c>
      <c r="C792" s="10">
        <v>0.24</v>
      </c>
      <c r="D792" s="10">
        <v>0.02</v>
      </c>
      <c r="E792" s="10">
        <v>0.68</v>
      </c>
      <c r="F792" s="10">
        <v>4</v>
      </c>
      <c r="G792" s="9"/>
    </row>
    <row r="793" spans="1:7" ht="15.75" x14ac:dyDescent="0.25">
      <c r="A793" s="59" t="s">
        <v>432</v>
      </c>
      <c r="B793" s="38">
        <v>2</v>
      </c>
      <c r="C793" s="10">
        <v>0.92200000000000004</v>
      </c>
      <c r="D793" s="10">
        <v>2E-3</v>
      </c>
      <c r="E793" s="10">
        <v>0.82</v>
      </c>
      <c r="F793" s="10">
        <v>6.98</v>
      </c>
      <c r="G793" s="9"/>
    </row>
    <row r="794" spans="1:7" ht="15.75" x14ac:dyDescent="0.25">
      <c r="A794" s="59" t="s">
        <v>251</v>
      </c>
      <c r="B794" s="38">
        <v>1</v>
      </c>
      <c r="C794" s="10">
        <v>0.25119999999999998</v>
      </c>
      <c r="D794" s="10">
        <v>0.55700000000000005</v>
      </c>
      <c r="E794" s="10">
        <v>0.123</v>
      </c>
      <c r="F794" s="10">
        <v>6.4924999999999997</v>
      </c>
      <c r="G794" s="9"/>
    </row>
    <row r="795" spans="1:7" ht="47.25" x14ac:dyDescent="0.25">
      <c r="A795" s="70" t="s">
        <v>446</v>
      </c>
      <c r="B795" s="92"/>
      <c r="C795" s="93"/>
      <c r="D795" s="93"/>
      <c r="E795" s="62"/>
      <c r="F795" s="93"/>
      <c r="G795" s="9"/>
    </row>
    <row r="796" spans="1:7" ht="15.75" x14ac:dyDescent="0.25">
      <c r="A796" s="3" t="s">
        <v>447</v>
      </c>
      <c r="B796" s="4">
        <v>273</v>
      </c>
      <c r="C796" s="5">
        <f>SUM(C797:C805)</f>
        <v>21.282143999999999</v>
      </c>
      <c r="D796" s="5">
        <f>SUM(D797:D805)</f>
        <v>18.838453999999999</v>
      </c>
      <c r="E796" s="5">
        <f>SUM(E797:E805)</f>
        <v>42.645045999999994</v>
      </c>
      <c r="F796" s="5">
        <f>SUM(F797:F805)</f>
        <v>426.93962000000005</v>
      </c>
      <c r="G796" s="5">
        <f>F796/B796*100</f>
        <v>156.3881391941392</v>
      </c>
    </row>
    <row r="797" spans="1:7" ht="15.75" x14ac:dyDescent="0.25">
      <c r="A797" s="59" t="s">
        <v>434</v>
      </c>
      <c r="B797" s="38">
        <v>80</v>
      </c>
      <c r="C797" s="9">
        <v>2.4</v>
      </c>
      <c r="D797" s="9">
        <v>0</v>
      </c>
      <c r="E797" s="9">
        <v>28</v>
      </c>
      <c r="F797" s="10">
        <v>127.2</v>
      </c>
      <c r="G797" s="9"/>
    </row>
    <row r="798" spans="1:7" ht="15.75" x14ac:dyDescent="0.25">
      <c r="A798" s="59" t="s">
        <v>317</v>
      </c>
      <c r="B798" s="38">
        <v>50</v>
      </c>
      <c r="C798" s="9">
        <v>12</v>
      </c>
      <c r="D798" s="10">
        <v>0.3</v>
      </c>
      <c r="E798" s="9">
        <v>0</v>
      </c>
      <c r="F798" s="9">
        <v>51</v>
      </c>
      <c r="G798" s="9"/>
    </row>
    <row r="799" spans="1:7" ht="15.75" x14ac:dyDescent="0.25">
      <c r="A799" s="59" t="s">
        <v>153</v>
      </c>
      <c r="B799" s="38">
        <v>30</v>
      </c>
      <c r="C799" s="10">
        <v>0.24</v>
      </c>
      <c r="D799" s="10">
        <v>0.03</v>
      </c>
      <c r="E799" s="10">
        <v>0.84</v>
      </c>
      <c r="F799" s="10">
        <v>4.5</v>
      </c>
      <c r="G799" s="9"/>
    </row>
    <row r="800" spans="1:7" ht="15.75" x14ac:dyDescent="0.25">
      <c r="A800" s="59" t="s">
        <v>380</v>
      </c>
      <c r="B800" s="38">
        <v>30</v>
      </c>
      <c r="C800" s="10">
        <v>0.6</v>
      </c>
      <c r="D800" s="10">
        <v>4.5</v>
      </c>
      <c r="E800" s="10">
        <v>2.4</v>
      </c>
      <c r="F800" s="10">
        <v>48</v>
      </c>
      <c r="G800" s="9"/>
    </row>
    <row r="801" spans="1:7" ht="15.75" x14ac:dyDescent="0.25">
      <c r="A801" s="59" t="s">
        <v>437</v>
      </c>
      <c r="B801" s="38">
        <v>30</v>
      </c>
      <c r="C801" s="10">
        <v>3.57</v>
      </c>
      <c r="D801" s="10">
        <v>1.56</v>
      </c>
      <c r="E801" s="10">
        <v>2.67</v>
      </c>
      <c r="F801" s="10">
        <v>36.299999999999997</v>
      </c>
      <c r="G801" s="9"/>
    </row>
    <row r="802" spans="1:7" ht="15.75" x14ac:dyDescent="0.25">
      <c r="A802" s="59" t="s">
        <v>448</v>
      </c>
      <c r="B802" s="38">
        <v>20</v>
      </c>
      <c r="C802" s="10">
        <v>0.79104399999999997</v>
      </c>
      <c r="D802" s="10">
        <v>5.8539999999999998E-3</v>
      </c>
      <c r="E802" s="10">
        <v>2.2171460000000001</v>
      </c>
      <c r="F802" s="10">
        <v>13.36312</v>
      </c>
      <c r="G802" s="9"/>
    </row>
    <row r="803" spans="1:7" ht="15.75" x14ac:dyDescent="0.25">
      <c r="A803" s="59" t="s">
        <v>449</v>
      </c>
      <c r="B803" s="38">
        <v>30</v>
      </c>
      <c r="C803" s="10">
        <v>0.50790000000000002</v>
      </c>
      <c r="D803" s="10">
        <v>11.883599999999999</v>
      </c>
      <c r="E803" s="10">
        <v>5.5749000000000004</v>
      </c>
      <c r="F803" s="10">
        <v>133.10400000000001</v>
      </c>
      <c r="G803" s="9"/>
    </row>
    <row r="804" spans="1:7" ht="15.75" x14ac:dyDescent="0.25">
      <c r="A804" s="59" t="s">
        <v>432</v>
      </c>
      <c r="B804" s="38">
        <v>2</v>
      </c>
      <c r="C804" s="10">
        <v>0.92200000000000004</v>
      </c>
      <c r="D804" s="10">
        <v>2E-3</v>
      </c>
      <c r="E804" s="10">
        <v>0.82</v>
      </c>
      <c r="F804" s="10">
        <v>6.98</v>
      </c>
      <c r="G804" s="9"/>
    </row>
    <row r="805" spans="1:7" ht="15.75" x14ac:dyDescent="0.25">
      <c r="A805" s="59" t="s">
        <v>251</v>
      </c>
      <c r="B805" s="38">
        <v>1</v>
      </c>
      <c r="C805" s="10">
        <v>0.25119999999999998</v>
      </c>
      <c r="D805" s="10">
        <v>0.55700000000000005</v>
      </c>
      <c r="E805" s="10">
        <v>0.123</v>
      </c>
      <c r="F805" s="10">
        <v>6.4924999999999997</v>
      </c>
      <c r="G805" s="9"/>
    </row>
    <row r="806" spans="1:7" ht="47.25" x14ac:dyDescent="0.25">
      <c r="A806" s="70" t="s">
        <v>450</v>
      </c>
      <c r="B806" s="92"/>
      <c r="C806" s="93"/>
      <c r="D806" s="93"/>
      <c r="E806" s="62"/>
      <c r="F806" s="93"/>
      <c r="G806" s="9"/>
    </row>
    <row r="807" spans="1:7" ht="15.75" x14ac:dyDescent="0.25">
      <c r="A807" s="3" t="s">
        <v>451</v>
      </c>
      <c r="B807" s="4">
        <v>167</v>
      </c>
      <c r="C807" s="5">
        <f>SUM(C808:C823)</f>
        <v>12.029601</v>
      </c>
      <c r="D807" s="5">
        <f>SUM(D808:D823)</f>
        <v>5.6672360000000008</v>
      </c>
      <c r="E807" s="5">
        <f>SUM(E808:E823)</f>
        <v>40.084819000000003</v>
      </c>
      <c r="F807" s="5">
        <f>SUM(F808:F823)</f>
        <v>261.86646000000002</v>
      </c>
      <c r="G807" s="5">
        <f>F807/B807*100</f>
        <v>156.80626347305392</v>
      </c>
    </row>
    <row r="808" spans="1:7" ht="15.75" x14ac:dyDescent="0.25">
      <c r="A808" s="59" t="s">
        <v>434</v>
      </c>
      <c r="B808" s="38">
        <v>100</v>
      </c>
      <c r="C808" s="9">
        <v>3</v>
      </c>
      <c r="D808" s="9">
        <v>0</v>
      </c>
      <c r="E808" s="9">
        <v>35</v>
      </c>
      <c r="F808" s="10">
        <v>159</v>
      </c>
      <c r="G808" s="9"/>
    </row>
    <row r="809" spans="1:7" ht="15.75" x14ac:dyDescent="0.25">
      <c r="A809" s="59" t="s">
        <v>452</v>
      </c>
      <c r="B809" s="38">
        <v>15</v>
      </c>
      <c r="C809" s="10">
        <v>3.4590000000000001</v>
      </c>
      <c r="D809" s="10">
        <v>0.16200000000000001</v>
      </c>
      <c r="E809" s="9">
        <v>0</v>
      </c>
      <c r="F809" s="9">
        <v>13.05</v>
      </c>
      <c r="G809" s="9"/>
    </row>
    <row r="810" spans="1:7" ht="15.75" x14ac:dyDescent="0.25">
      <c r="A810" s="59" t="s">
        <v>11</v>
      </c>
      <c r="B810" s="38">
        <v>12</v>
      </c>
      <c r="C810" s="10">
        <v>2.3279999999999998</v>
      </c>
      <c r="D810" s="10">
        <v>1.3968</v>
      </c>
      <c r="E810" s="10">
        <v>0.15240000000000001</v>
      </c>
      <c r="F810" s="10">
        <v>21.256799999999998</v>
      </c>
      <c r="G810" s="9"/>
    </row>
    <row r="811" spans="1:7" ht="15.75" x14ac:dyDescent="0.25">
      <c r="A811" s="59" t="s">
        <v>317</v>
      </c>
      <c r="B811" s="38">
        <v>5</v>
      </c>
      <c r="C811" s="10">
        <v>1.2</v>
      </c>
      <c r="D811" s="10">
        <v>0.03</v>
      </c>
      <c r="E811" s="10">
        <v>0</v>
      </c>
      <c r="F811" s="10">
        <v>5.0999999999999996</v>
      </c>
      <c r="G811" s="9"/>
    </row>
    <row r="812" spans="1:7" ht="15.75" x14ac:dyDescent="0.25">
      <c r="A812" s="59" t="s">
        <v>453</v>
      </c>
      <c r="B812" s="38">
        <v>3</v>
      </c>
      <c r="C812" s="10">
        <v>0.96</v>
      </c>
      <c r="D812" s="10">
        <v>0.39</v>
      </c>
      <c r="E812" s="10">
        <v>0</v>
      </c>
      <c r="F812" s="10">
        <v>7.35</v>
      </c>
      <c r="G812" s="9"/>
    </row>
    <row r="813" spans="1:7" ht="15.75" x14ac:dyDescent="0.25">
      <c r="A813" s="59" t="s">
        <v>246</v>
      </c>
      <c r="B813" s="38">
        <v>5</v>
      </c>
      <c r="C813" s="10">
        <v>9.3921000000000004E-2</v>
      </c>
      <c r="D813" s="10">
        <v>2.1444359999999998</v>
      </c>
      <c r="E813" s="10">
        <v>0.74777899999999997</v>
      </c>
      <c r="F813" s="10">
        <v>22.8931</v>
      </c>
      <c r="G813" s="9"/>
    </row>
    <row r="814" spans="1:7" ht="15.75" x14ac:dyDescent="0.25">
      <c r="A814" s="59" t="s">
        <v>259</v>
      </c>
      <c r="B814" s="38">
        <v>6</v>
      </c>
      <c r="C814" s="10">
        <v>0.108</v>
      </c>
      <c r="D814" s="10">
        <v>6.6000000000000003E-2</v>
      </c>
      <c r="E814" s="10">
        <v>0.16200000000000001</v>
      </c>
      <c r="F814" s="10">
        <v>1.02</v>
      </c>
      <c r="G814" s="9"/>
    </row>
    <row r="815" spans="1:7" ht="15.75" x14ac:dyDescent="0.25">
      <c r="A815" s="59" t="s">
        <v>411</v>
      </c>
      <c r="B815" s="38">
        <v>3</v>
      </c>
      <c r="C815" s="10">
        <v>0.14688000000000001</v>
      </c>
      <c r="D815" s="10">
        <v>7.1400000000000005E-2</v>
      </c>
      <c r="E815" s="10">
        <v>0.60863999999999996</v>
      </c>
      <c r="F815" s="10">
        <v>3.67056</v>
      </c>
      <c r="G815" s="9"/>
    </row>
    <row r="816" spans="1:7" ht="15.75" x14ac:dyDescent="0.25">
      <c r="A816" s="59" t="s">
        <v>454</v>
      </c>
      <c r="B816" s="38">
        <v>4</v>
      </c>
      <c r="C816" s="10">
        <v>4.8800000000000003E-2</v>
      </c>
      <c r="D816" s="10">
        <v>0.1736</v>
      </c>
      <c r="E816" s="10">
        <v>1.292</v>
      </c>
      <c r="F816" s="10">
        <v>7.4359999999999999</v>
      </c>
      <c r="G816" s="9"/>
    </row>
    <row r="817" spans="1:7" ht="15.75" x14ac:dyDescent="0.25">
      <c r="A817" s="59" t="s">
        <v>380</v>
      </c>
      <c r="B817" s="38">
        <v>8</v>
      </c>
      <c r="C817" s="10">
        <v>0.16</v>
      </c>
      <c r="D817" s="10">
        <v>1.2</v>
      </c>
      <c r="E817" s="10">
        <v>0.64</v>
      </c>
      <c r="F817" s="10">
        <v>12.8</v>
      </c>
      <c r="G817" s="9"/>
    </row>
    <row r="818" spans="1:7" ht="15.75" x14ac:dyDescent="0.25">
      <c r="A818" s="59" t="s">
        <v>455</v>
      </c>
      <c r="B818" s="38">
        <v>8</v>
      </c>
      <c r="C818" s="10">
        <v>6.4000000000000001E-2</v>
      </c>
      <c r="D818" s="10">
        <v>3.2000000000000001E-2</v>
      </c>
      <c r="E818" s="10">
        <v>1.0720000000000001</v>
      </c>
      <c r="F818" s="10">
        <v>4.8</v>
      </c>
      <c r="G818" s="9"/>
    </row>
    <row r="819" spans="1:7" ht="15.75" x14ac:dyDescent="0.25">
      <c r="A819" s="59" t="s">
        <v>432</v>
      </c>
      <c r="B819" s="38">
        <v>1</v>
      </c>
      <c r="C819" s="10">
        <v>0.46100000000000002</v>
      </c>
      <c r="D819" s="10">
        <v>1E-3</v>
      </c>
      <c r="E819" s="10">
        <v>0.41</v>
      </c>
      <c r="F819" s="10">
        <v>3.49</v>
      </c>
      <c r="G819" s="9"/>
    </row>
    <row r="820" spans="1:7" ht="15.75" x14ac:dyDescent="0.25">
      <c r="A820" s="59" t="s">
        <v>423</v>
      </c>
      <c r="B820" s="38"/>
      <c r="C820" s="10"/>
      <c r="D820" s="10"/>
      <c r="E820" s="10"/>
      <c r="F820" s="10"/>
      <c r="G820" s="9"/>
    </row>
    <row r="821" spans="1:7" ht="15.75" x14ac:dyDescent="0.25">
      <c r="A821" s="59" t="s">
        <v>456</v>
      </c>
      <c r="B821" s="38"/>
      <c r="C821" s="10"/>
      <c r="D821" s="10"/>
      <c r="E821" s="10"/>
      <c r="F821" s="10"/>
      <c r="G821" s="9"/>
    </row>
    <row r="822" spans="1:7" ht="15.75" x14ac:dyDescent="0.25">
      <c r="A822" s="59" t="s">
        <v>424</v>
      </c>
      <c r="B822" s="38"/>
      <c r="C822" s="10"/>
      <c r="D822" s="10"/>
      <c r="E822" s="10"/>
      <c r="F822" s="10"/>
      <c r="G822" s="9"/>
    </row>
    <row r="823" spans="1:7" ht="15.75" x14ac:dyDescent="0.25">
      <c r="A823" s="89" t="s">
        <v>425</v>
      </c>
      <c r="B823" s="38"/>
      <c r="C823" s="10"/>
      <c r="D823" s="10"/>
      <c r="E823" s="10"/>
      <c r="F823" s="10"/>
      <c r="G823" s="9"/>
    </row>
    <row r="824" spans="1:7" ht="47.25" x14ac:dyDescent="0.25">
      <c r="A824" s="70" t="s">
        <v>457</v>
      </c>
      <c r="B824" s="92"/>
      <c r="C824" s="93"/>
      <c r="D824" s="93"/>
      <c r="E824" s="62"/>
      <c r="F824" s="93"/>
      <c r="G824" s="9"/>
    </row>
    <row r="825" spans="1:7" ht="15.75" x14ac:dyDescent="0.25">
      <c r="A825" s="3" t="s">
        <v>458</v>
      </c>
      <c r="B825" s="4">
        <v>204</v>
      </c>
      <c r="C825" s="5">
        <f>SUM(C826:C835)</f>
        <v>13.863</v>
      </c>
      <c r="D825" s="5">
        <f>SUM(D826:D835)</f>
        <v>8.5660000000000007</v>
      </c>
      <c r="E825" s="5">
        <f>SUM(E826:E835)</f>
        <v>42.000000000000007</v>
      </c>
      <c r="F825" s="5">
        <f>SUM(F826:F835)</f>
        <v>294.64</v>
      </c>
      <c r="G825" s="5">
        <f>F825/B825*100</f>
        <v>144.43137254901961</v>
      </c>
    </row>
    <row r="826" spans="1:7" ht="15.75" x14ac:dyDescent="0.25">
      <c r="A826" s="59" t="s">
        <v>434</v>
      </c>
      <c r="B826" s="38">
        <v>100</v>
      </c>
      <c r="C826" s="9">
        <v>3</v>
      </c>
      <c r="D826" s="9">
        <v>0</v>
      </c>
      <c r="E826" s="9">
        <v>35</v>
      </c>
      <c r="F826" s="10">
        <v>159</v>
      </c>
      <c r="G826" s="9"/>
    </row>
    <row r="827" spans="1:7" ht="15.75" x14ac:dyDescent="0.25">
      <c r="A827" s="59" t="s">
        <v>452</v>
      </c>
      <c r="B827" s="38">
        <v>15</v>
      </c>
      <c r="C827" s="10">
        <v>3.4590000000000001</v>
      </c>
      <c r="D827" s="10">
        <v>0.16200000000000001</v>
      </c>
      <c r="E827" s="9">
        <v>0</v>
      </c>
      <c r="F827" s="9">
        <v>13.05</v>
      </c>
      <c r="G827" s="9"/>
    </row>
    <row r="828" spans="1:7" ht="15.75" x14ac:dyDescent="0.25">
      <c r="A828" s="59" t="s">
        <v>153</v>
      </c>
      <c r="B828" s="38">
        <v>20</v>
      </c>
      <c r="C828" s="10">
        <v>0.16</v>
      </c>
      <c r="D828" s="10">
        <v>0.02</v>
      </c>
      <c r="E828" s="10">
        <v>0.56000000000000005</v>
      </c>
      <c r="F828" s="10">
        <v>3</v>
      </c>
      <c r="G828" s="9"/>
    </row>
    <row r="829" spans="1:7" ht="15.75" x14ac:dyDescent="0.25">
      <c r="A829" s="59" t="s">
        <v>193</v>
      </c>
      <c r="B829" s="38">
        <v>20</v>
      </c>
      <c r="C829" s="10">
        <v>1.2</v>
      </c>
      <c r="D829" s="10">
        <v>5.2</v>
      </c>
      <c r="E829" s="10">
        <v>0.6</v>
      </c>
      <c r="F829" s="10">
        <v>54</v>
      </c>
      <c r="G829" s="9"/>
    </row>
    <row r="830" spans="1:7" ht="15.75" x14ac:dyDescent="0.25">
      <c r="A830" s="59" t="s">
        <v>380</v>
      </c>
      <c r="B830" s="38">
        <v>15</v>
      </c>
      <c r="C830" s="10">
        <v>0.3</v>
      </c>
      <c r="D830" s="10">
        <v>2.25</v>
      </c>
      <c r="E830" s="10">
        <v>1.2</v>
      </c>
      <c r="F830" s="10">
        <v>24</v>
      </c>
      <c r="G830" s="9"/>
    </row>
    <row r="831" spans="1:7" ht="15.75" x14ac:dyDescent="0.25">
      <c r="A831" s="59" t="s">
        <v>136</v>
      </c>
      <c r="B831" s="38">
        <v>30</v>
      </c>
      <c r="C831" s="10">
        <v>3.9</v>
      </c>
      <c r="D831" s="10">
        <v>0.93</v>
      </c>
      <c r="E831" s="10">
        <v>3</v>
      </c>
      <c r="F831" s="10">
        <v>27.63</v>
      </c>
      <c r="G831" s="9"/>
    </row>
    <row r="832" spans="1:7" ht="15.75" x14ac:dyDescent="0.25">
      <c r="A832" s="59" t="s">
        <v>432</v>
      </c>
      <c r="B832" s="38">
        <v>4</v>
      </c>
      <c r="C832" s="10">
        <v>1.8440000000000001</v>
      </c>
      <c r="D832" s="10">
        <v>4.0000000000000001E-3</v>
      </c>
      <c r="E832" s="10">
        <v>1.64</v>
      </c>
      <c r="F832" s="10">
        <v>13.96</v>
      </c>
      <c r="G832" s="9"/>
    </row>
    <row r="833" spans="1:7" ht="15.75" x14ac:dyDescent="0.25">
      <c r="A833" s="59" t="s">
        <v>423</v>
      </c>
      <c r="B833" s="38"/>
      <c r="C833" s="10"/>
      <c r="D833" s="10"/>
      <c r="E833" s="10"/>
      <c r="F833" s="10"/>
      <c r="G833" s="9"/>
    </row>
    <row r="834" spans="1:7" ht="15.75" x14ac:dyDescent="0.25">
      <c r="A834" s="59" t="s">
        <v>424</v>
      </c>
      <c r="B834" s="38"/>
      <c r="C834" s="10"/>
      <c r="D834" s="10"/>
      <c r="E834" s="10"/>
      <c r="F834" s="10"/>
      <c r="G834" s="9"/>
    </row>
    <row r="835" spans="1:7" ht="15.75" x14ac:dyDescent="0.25">
      <c r="A835" s="89" t="s">
        <v>425</v>
      </c>
      <c r="B835" s="38"/>
      <c r="C835" s="10"/>
      <c r="D835" s="10"/>
      <c r="E835" s="10"/>
      <c r="F835" s="10"/>
      <c r="G835" s="9"/>
    </row>
    <row r="836" spans="1:7" ht="15.75" x14ac:dyDescent="0.25">
      <c r="A836" s="70" t="s">
        <v>459</v>
      </c>
      <c r="B836" s="92"/>
      <c r="C836" s="93"/>
      <c r="D836" s="93"/>
      <c r="E836" s="62"/>
      <c r="F836" s="93"/>
      <c r="G836" s="9"/>
    </row>
    <row r="837" spans="1:7" ht="15.75" x14ac:dyDescent="0.25">
      <c r="A837" s="3" t="s">
        <v>460</v>
      </c>
      <c r="B837" s="4">
        <v>224</v>
      </c>
      <c r="C837" s="5">
        <f>SUM(C838:C847)</f>
        <v>17.193999999999999</v>
      </c>
      <c r="D837" s="5">
        <f>SUM(D838:D847)</f>
        <v>12.478</v>
      </c>
      <c r="E837" s="5">
        <f>SUM(E838:E847)</f>
        <v>42.444500000000005</v>
      </c>
      <c r="F837" s="5">
        <f>SUM(F838:F847)</f>
        <v>343.589</v>
      </c>
      <c r="G837" s="5">
        <f>F837/B837*100</f>
        <v>153.38794642857144</v>
      </c>
    </row>
    <row r="838" spans="1:7" ht="15.75" x14ac:dyDescent="0.25">
      <c r="A838" s="59" t="s">
        <v>434</v>
      </c>
      <c r="B838" s="38">
        <v>100</v>
      </c>
      <c r="C838" s="9">
        <v>3</v>
      </c>
      <c r="D838" s="9">
        <v>0</v>
      </c>
      <c r="E838" s="9">
        <v>35</v>
      </c>
      <c r="F838" s="10">
        <v>159</v>
      </c>
      <c r="G838" s="9"/>
    </row>
    <row r="839" spans="1:7" ht="15.75" x14ac:dyDescent="0.25">
      <c r="A839" s="59" t="s">
        <v>11</v>
      </c>
      <c r="B839" s="38">
        <v>35</v>
      </c>
      <c r="C839" s="9">
        <v>6.79</v>
      </c>
      <c r="D839" s="10">
        <v>4.0739999999999998</v>
      </c>
      <c r="E839" s="10">
        <v>0.44450000000000001</v>
      </c>
      <c r="F839" s="9">
        <v>61.999000000000002</v>
      </c>
      <c r="G839" s="9"/>
    </row>
    <row r="840" spans="1:7" ht="15.75" x14ac:dyDescent="0.25">
      <c r="A840" s="59" t="s">
        <v>153</v>
      </c>
      <c r="B840" s="38">
        <v>20</v>
      </c>
      <c r="C840" s="10">
        <v>0.16</v>
      </c>
      <c r="D840" s="10">
        <v>0.02</v>
      </c>
      <c r="E840" s="10">
        <v>0.56000000000000005</v>
      </c>
      <c r="F840" s="10">
        <v>3</v>
      </c>
      <c r="G840" s="9"/>
    </row>
    <row r="841" spans="1:7" ht="15.75" x14ac:dyDescent="0.25">
      <c r="A841" s="59" t="s">
        <v>193</v>
      </c>
      <c r="B841" s="38">
        <v>20</v>
      </c>
      <c r="C841" s="10">
        <v>1.2</v>
      </c>
      <c r="D841" s="10">
        <v>5.2</v>
      </c>
      <c r="E841" s="10">
        <v>0.6</v>
      </c>
      <c r="F841" s="10">
        <v>54</v>
      </c>
      <c r="G841" s="9"/>
    </row>
    <row r="842" spans="1:7" ht="15.75" x14ac:dyDescent="0.25">
      <c r="A842" s="59" t="s">
        <v>380</v>
      </c>
      <c r="B842" s="38">
        <v>15</v>
      </c>
      <c r="C842" s="10">
        <v>0.3</v>
      </c>
      <c r="D842" s="10">
        <v>2.25</v>
      </c>
      <c r="E842" s="10">
        <v>1.2</v>
      </c>
      <c r="F842" s="10">
        <v>24</v>
      </c>
      <c r="G842" s="9"/>
    </row>
    <row r="843" spans="1:7" ht="15.75" x14ac:dyDescent="0.25">
      <c r="A843" s="59" t="s">
        <v>136</v>
      </c>
      <c r="B843" s="38">
        <v>30</v>
      </c>
      <c r="C843" s="10">
        <v>3.9</v>
      </c>
      <c r="D843" s="10">
        <v>0.93</v>
      </c>
      <c r="E843" s="10">
        <v>3</v>
      </c>
      <c r="F843" s="10">
        <v>27.63</v>
      </c>
      <c r="G843" s="9"/>
    </row>
    <row r="844" spans="1:7" ht="15.75" x14ac:dyDescent="0.25">
      <c r="A844" s="59" t="s">
        <v>432</v>
      </c>
      <c r="B844" s="38">
        <v>4</v>
      </c>
      <c r="C844" s="10">
        <v>1.8440000000000001</v>
      </c>
      <c r="D844" s="10">
        <v>4.0000000000000001E-3</v>
      </c>
      <c r="E844" s="10">
        <v>1.64</v>
      </c>
      <c r="F844" s="10">
        <v>13.96</v>
      </c>
      <c r="G844" s="9"/>
    </row>
    <row r="845" spans="1:7" ht="15.75" x14ac:dyDescent="0.25">
      <c r="A845" s="59" t="s">
        <v>423</v>
      </c>
      <c r="B845" s="38"/>
      <c r="C845" s="10"/>
      <c r="D845" s="10"/>
      <c r="E845" s="10"/>
      <c r="F845" s="10"/>
      <c r="G845" s="9"/>
    </row>
    <row r="846" spans="1:7" ht="15.75" x14ac:dyDescent="0.25">
      <c r="A846" s="59" t="s">
        <v>424</v>
      </c>
      <c r="B846" s="38"/>
      <c r="C846" s="10"/>
      <c r="D846" s="10"/>
      <c r="E846" s="10"/>
      <c r="F846" s="10"/>
      <c r="G846" s="9"/>
    </row>
    <row r="847" spans="1:7" ht="15.75" x14ac:dyDescent="0.25">
      <c r="A847" s="89" t="s">
        <v>425</v>
      </c>
      <c r="B847" s="38"/>
      <c r="C847" s="10"/>
      <c r="D847" s="10"/>
      <c r="E847" s="10"/>
      <c r="F847" s="10"/>
      <c r="G847" s="9"/>
    </row>
    <row r="848" spans="1:7" ht="15.75" x14ac:dyDescent="0.25">
      <c r="A848" s="70" t="s">
        <v>459</v>
      </c>
      <c r="B848" s="92"/>
      <c r="C848" s="93"/>
      <c r="D848" s="93"/>
      <c r="E848" s="62"/>
      <c r="F848" s="93"/>
      <c r="G848" s="9"/>
    </row>
    <row r="849" spans="1:7" ht="15.75" x14ac:dyDescent="0.25">
      <c r="A849" s="3" t="s">
        <v>461</v>
      </c>
      <c r="B849" s="4">
        <v>286</v>
      </c>
      <c r="C849" s="5">
        <f>SUM(C850:C862)</f>
        <v>17.50648</v>
      </c>
      <c r="D849" s="5">
        <f>SUM(D850:D862)</f>
        <v>22.3506</v>
      </c>
      <c r="E849" s="5">
        <f>SUM(E850:E862)</f>
        <v>59.665240000000004</v>
      </c>
      <c r="F849" s="5">
        <f>SUM(F850:F862)</f>
        <v>512.5027</v>
      </c>
      <c r="G849" s="5">
        <f>F849/B849*100</f>
        <v>179.19674825174826</v>
      </c>
    </row>
    <row r="850" spans="1:7" ht="15.75" x14ac:dyDescent="0.25">
      <c r="A850" s="89" t="s">
        <v>434</v>
      </c>
      <c r="B850" s="38">
        <v>100</v>
      </c>
      <c r="C850" s="9">
        <v>3</v>
      </c>
      <c r="D850" s="9">
        <v>0</v>
      </c>
      <c r="E850" s="9">
        <v>35</v>
      </c>
      <c r="F850" s="10">
        <v>159</v>
      </c>
      <c r="G850" s="9"/>
    </row>
    <row r="851" spans="1:7" ht="15.75" x14ac:dyDescent="0.25">
      <c r="A851" s="89" t="s">
        <v>133</v>
      </c>
      <c r="B851" s="38">
        <v>50</v>
      </c>
      <c r="C851" s="9">
        <v>7.6</v>
      </c>
      <c r="D851" s="10">
        <v>0.6</v>
      </c>
      <c r="E851" s="9">
        <v>1.86</v>
      </c>
      <c r="F851" s="9">
        <v>46</v>
      </c>
      <c r="G851" s="9"/>
    </row>
    <row r="852" spans="1:7" ht="15.75" x14ac:dyDescent="0.25">
      <c r="A852" s="89" t="s">
        <v>380</v>
      </c>
      <c r="B852" s="38">
        <v>40</v>
      </c>
      <c r="C852" s="10">
        <v>0.8</v>
      </c>
      <c r="D852" s="10">
        <v>6</v>
      </c>
      <c r="E852" s="10">
        <v>3.2</v>
      </c>
      <c r="F852" s="10">
        <v>64</v>
      </c>
      <c r="G852" s="9"/>
    </row>
    <row r="853" spans="1:7" ht="15.75" x14ac:dyDescent="0.25">
      <c r="A853" s="89" t="s">
        <v>111</v>
      </c>
      <c r="B853" s="38">
        <v>2</v>
      </c>
      <c r="C853" s="10">
        <v>0.20599999999999999</v>
      </c>
      <c r="D853" s="10">
        <v>2.1999999999999999E-2</v>
      </c>
      <c r="E853" s="10">
        <v>1.4119999999999999</v>
      </c>
      <c r="F853" s="10">
        <v>6.68</v>
      </c>
      <c r="G853" s="9"/>
    </row>
    <row r="854" spans="1:7" ht="15.75" x14ac:dyDescent="0.25">
      <c r="A854" s="89" t="s">
        <v>462</v>
      </c>
      <c r="B854" s="38">
        <v>40</v>
      </c>
      <c r="C854" s="10">
        <v>0.82</v>
      </c>
      <c r="D854" s="10">
        <v>0.08</v>
      </c>
      <c r="E854" s="10">
        <v>12.68</v>
      </c>
      <c r="F854" s="10">
        <v>55.38</v>
      </c>
      <c r="G854" s="9"/>
    </row>
    <row r="855" spans="1:7" ht="15.75" x14ac:dyDescent="0.25">
      <c r="A855" s="89" t="s">
        <v>23</v>
      </c>
      <c r="B855" s="38">
        <v>4</v>
      </c>
      <c r="C855" s="10">
        <v>0</v>
      </c>
      <c r="D855" s="10">
        <v>3.996</v>
      </c>
      <c r="E855" s="10">
        <v>0</v>
      </c>
      <c r="F855" s="10">
        <v>35.96</v>
      </c>
      <c r="G855" s="9"/>
    </row>
    <row r="856" spans="1:7" ht="15.75" x14ac:dyDescent="0.25">
      <c r="A856" s="89" t="s">
        <v>432</v>
      </c>
      <c r="B856" s="38">
        <v>2</v>
      </c>
      <c r="C856" s="10">
        <v>0.92200000000000004</v>
      </c>
      <c r="D856" s="10">
        <v>2E-3</v>
      </c>
      <c r="E856" s="10">
        <v>0.82</v>
      </c>
      <c r="F856" s="10">
        <v>6.98</v>
      </c>
      <c r="G856" s="9"/>
    </row>
    <row r="857" spans="1:7" ht="15.75" x14ac:dyDescent="0.25">
      <c r="A857" s="89" t="s">
        <v>251</v>
      </c>
      <c r="B857" s="38">
        <v>5</v>
      </c>
      <c r="C857" s="10">
        <v>1.256</v>
      </c>
      <c r="D857" s="10">
        <v>2.7850000000000001</v>
      </c>
      <c r="E857" s="10">
        <v>0.61499999999999999</v>
      </c>
      <c r="F857" s="10">
        <v>32.462499999999999</v>
      </c>
      <c r="G857" s="9"/>
    </row>
    <row r="858" spans="1:7" ht="15.75" x14ac:dyDescent="0.25">
      <c r="A858" s="89" t="s">
        <v>463</v>
      </c>
      <c r="B858" s="38">
        <v>5</v>
      </c>
      <c r="C858" s="10">
        <v>0.16500000000000001</v>
      </c>
      <c r="D858" s="10">
        <v>0.01</v>
      </c>
      <c r="E858" s="10">
        <v>1.78</v>
      </c>
      <c r="F858" s="10">
        <v>7.85</v>
      </c>
      <c r="G858" s="9"/>
    </row>
    <row r="859" spans="1:7" ht="15.75" x14ac:dyDescent="0.25">
      <c r="A859" s="89" t="s">
        <v>464</v>
      </c>
      <c r="B859" s="38">
        <v>40</v>
      </c>
      <c r="C859" s="10">
        <v>2.7374800000000001</v>
      </c>
      <c r="D859" s="10">
        <v>8.8556000000000008</v>
      </c>
      <c r="E859" s="10">
        <v>2.2982399999999998</v>
      </c>
      <c r="F859" s="10">
        <v>98.190200000000004</v>
      </c>
      <c r="G859" s="9"/>
    </row>
    <row r="860" spans="1:7" ht="15.75" x14ac:dyDescent="0.25">
      <c r="A860" s="59" t="s">
        <v>423</v>
      </c>
      <c r="B860" s="38"/>
      <c r="C860" s="10"/>
      <c r="D860" s="10"/>
      <c r="E860" s="10"/>
      <c r="F860" s="10"/>
      <c r="G860" s="9"/>
    </row>
    <row r="861" spans="1:7" ht="15.75" x14ac:dyDescent="0.25">
      <c r="A861" s="89" t="s">
        <v>424</v>
      </c>
      <c r="B861" s="38"/>
      <c r="C861" s="10"/>
      <c r="D861" s="10"/>
      <c r="E861" s="10"/>
      <c r="F861" s="10"/>
      <c r="G861" s="9"/>
    </row>
    <row r="862" spans="1:7" ht="15.75" x14ac:dyDescent="0.25">
      <c r="A862" s="89" t="s">
        <v>425</v>
      </c>
      <c r="B862" s="38"/>
      <c r="C862" s="10"/>
      <c r="D862" s="10"/>
      <c r="E862" s="10"/>
      <c r="F862" s="10"/>
      <c r="G862" s="9"/>
    </row>
    <row r="863" spans="1:7" ht="31.5" x14ac:dyDescent="0.25">
      <c r="A863" s="70" t="s">
        <v>465</v>
      </c>
      <c r="B863" s="92"/>
      <c r="C863" s="93"/>
      <c r="D863" s="93"/>
      <c r="E863" s="62"/>
      <c r="F863" s="93"/>
      <c r="G863" s="9"/>
    </row>
    <row r="864" spans="1:7" ht="15.75" x14ac:dyDescent="0.25">
      <c r="A864" s="3" t="s">
        <v>466</v>
      </c>
      <c r="B864" s="4">
        <v>212</v>
      </c>
      <c r="C864" s="5">
        <f>SUM(C865:C874)</f>
        <v>14.912000000000001</v>
      </c>
      <c r="D864" s="5">
        <f>SUM(D865:D874)</f>
        <v>15.253</v>
      </c>
      <c r="E864" s="5">
        <f>SUM(E865:E874)</f>
        <v>42.567</v>
      </c>
      <c r="F864" s="5">
        <f>SUM(F865:F874)</f>
        <v>369.35100000000006</v>
      </c>
      <c r="G864" s="5">
        <f>F864/B864*100</f>
        <v>174.22216981132078</v>
      </c>
    </row>
    <row r="865" spans="1:7" ht="15.75" x14ac:dyDescent="0.25">
      <c r="A865" s="59" t="s">
        <v>434</v>
      </c>
      <c r="B865" s="38">
        <v>100</v>
      </c>
      <c r="C865" s="9">
        <v>3</v>
      </c>
      <c r="D865" s="9">
        <v>0</v>
      </c>
      <c r="E865" s="9">
        <v>35</v>
      </c>
      <c r="F865" s="10">
        <v>159</v>
      </c>
      <c r="G865" s="9"/>
    </row>
    <row r="866" spans="1:7" ht="15.75" x14ac:dyDescent="0.25">
      <c r="A866" s="59" t="s">
        <v>11</v>
      </c>
      <c r="B866" s="38">
        <v>40</v>
      </c>
      <c r="C866" s="9">
        <v>7.76</v>
      </c>
      <c r="D866" s="10">
        <v>4.6559999999999997</v>
      </c>
      <c r="E866" s="10">
        <v>0.50800000000000001</v>
      </c>
      <c r="F866" s="10">
        <v>70.855999999999995</v>
      </c>
      <c r="G866" s="9"/>
    </row>
    <row r="867" spans="1:7" ht="15.75" x14ac:dyDescent="0.25">
      <c r="A867" s="59" t="s">
        <v>193</v>
      </c>
      <c r="B867" s="38">
        <v>40</v>
      </c>
      <c r="C867" s="10">
        <v>2.4</v>
      </c>
      <c r="D867" s="10">
        <v>10.4</v>
      </c>
      <c r="E867" s="10">
        <v>1.2</v>
      </c>
      <c r="F867" s="10">
        <v>108</v>
      </c>
      <c r="G867" s="9"/>
    </row>
    <row r="868" spans="1:7" ht="15.75" x14ac:dyDescent="0.25">
      <c r="A868" s="59" t="s">
        <v>432</v>
      </c>
      <c r="B868" s="38">
        <v>2</v>
      </c>
      <c r="C868" s="10">
        <v>0.92200000000000004</v>
      </c>
      <c r="D868" s="10">
        <v>2E-3</v>
      </c>
      <c r="E868" s="10">
        <v>0.82</v>
      </c>
      <c r="F868" s="10">
        <v>6.98</v>
      </c>
      <c r="G868" s="9"/>
    </row>
    <row r="869" spans="1:7" ht="15.75" x14ac:dyDescent="0.25">
      <c r="A869" s="59" t="s">
        <v>136</v>
      </c>
      <c r="B869" s="38">
        <v>5</v>
      </c>
      <c r="C869" s="10">
        <v>0.65</v>
      </c>
      <c r="D869" s="10">
        <v>0.155</v>
      </c>
      <c r="E869" s="10">
        <v>0.5</v>
      </c>
      <c r="F869" s="10">
        <v>4.6050000000000004</v>
      </c>
      <c r="G869" s="9"/>
    </row>
    <row r="870" spans="1:7" ht="15.75" x14ac:dyDescent="0.25">
      <c r="A870" s="59" t="s">
        <v>467</v>
      </c>
      <c r="B870" s="38">
        <v>3</v>
      </c>
      <c r="C870" s="10">
        <v>0</v>
      </c>
      <c r="D870" s="10">
        <v>0</v>
      </c>
      <c r="E870" s="10">
        <v>2.919</v>
      </c>
      <c r="F870" s="10">
        <v>11.31</v>
      </c>
      <c r="G870" s="9"/>
    </row>
    <row r="871" spans="1:7" ht="15.75" x14ac:dyDescent="0.25">
      <c r="A871" s="59" t="s">
        <v>468</v>
      </c>
      <c r="B871" s="38">
        <v>20</v>
      </c>
      <c r="C871" s="10">
        <v>0.18</v>
      </c>
      <c r="D871" s="10">
        <v>0.04</v>
      </c>
      <c r="E871" s="10">
        <v>1.62</v>
      </c>
      <c r="F871" s="10">
        <v>8.6</v>
      </c>
      <c r="G871" s="9"/>
    </row>
    <row r="872" spans="1:7" ht="15.75" x14ac:dyDescent="0.25">
      <c r="A872" s="59" t="s">
        <v>469</v>
      </c>
      <c r="B872" s="38"/>
      <c r="C872" s="10"/>
      <c r="D872" s="10"/>
      <c r="E872" s="10"/>
      <c r="F872" s="10"/>
      <c r="G872" s="9"/>
    </row>
    <row r="873" spans="1:7" ht="15.75" x14ac:dyDescent="0.25">
      <c r="A873" s="59" t="s">
        <v>424</v>
      </c>
      <c r="B873" s="38"/>
      <c r="C873" s="10"/>
      <c r="D873" s="10"/>
      <c r="E873" s="10"/>
      <c r="F873" s="10"/>
      <c r="G873" s="9"/>
    </row>
    <row r="874" spans="1:7" ht="15.75" x14ac:dyDescent="0.25">
      <c r="A874" s="89" t="s">
        <v>425</v>
      </c>
      <c r="B874" s="38"/>
      <c r="C874" s="10"/>
      <c r="D874" s="10"/>
      <c r="E874" s="10"/>
      <c r="F874" s="10"/>
      <c r="G874" s="9"/>
    </row>
    <row r="875" spans="1:7" ht="15.75" x14ac:dyDescent="0.25">
      <c r="A875" s="70" t="s">
        <v>459</v>
      </c>
      <c r="B875" s="92"/>
      <c r="C875" s="93"/>
      <c r="D875" s="93"/>
      <c r="E875" s="62"/>
      <c r="F875" s="93"/>
      <c r="G875" s="9"/>
    </row>
    <row r="876" spans="1:7" ht="15.75" x14ac:dyDescent="0.25">
      <c r="A876" s="3" t="s">
        <v>470</v>
      </c>
      <c r="B876" s="4">
        <v>178</v>
      </c>
      <c r="C876" s="5">
        <f>SUM(C877:C886)</f>
        <v>10.083200000000001</v>
      </c>
      <c r="D876" s="5">
        <f>SUM(D877:D886)</f>
        <v>11.857000000000001</v>
      </c>
      <c r="E876" s="5">
        <f>SUM(E877:E886)</f>
        <v>42.356999999999999</v>
      </c>
      <c r="F876" s="5">
        <f>SUM(F877:F886)</f>
        <v>317.60050000000001</v>
      </c>
      <c r="G876" s="5">
        <f>F876/B876*100</f>
        <v>178.42724719101125</v>
      </c>
    </row>
    <row r="877" spans="1:7" ht="15.75" x14ac:dyDescent="0.25">
      <c r="A877" s="59" t="s">
        <v>434</v>
      </c>
      <c r="B877" s="38">
        <v>100</v>
      </c>
      <c r="C877" s="9">
        <v>3</v>
      </c>
      <c r="D877" s="9">
        <v>0</v>
      </c>
      <c r="E877" s="9">
        <v>35</v>
      </c>
      <c r="F877" s="10">
        <v>159</v>
      </c>
      <c r="G877" s="9"/>
    </row>
    <row r="878" spans="1:7" ht="15.75" x14ac:dyDescent="0.25">
      <c r="A878" s="59" t="s">
        <v>11</v>
      </c>
      <c r="B878" s="38">
        <v>20</v>
      </c>
      <c r="C878" s="9">
        <v>3.88</v>
      </c>
      <c r="D878" s="10">
        <v>2.3279999999999998</v>
      </c>
      <c r="E878" s="9">
        <v>0.254</v>
      </c>
      <c r="F878" s="9">
        <v>35.427999999999997</v>
      </c>
      <c r="G878" s="9"/>
    </row>
    <row r="879" spans="1:7" ht="15.75" x14ac:dyDescent="0.25">
      <c r="A879" s="59" t="s">
        <v>463</v>
      </c>
      <c r="B879" s="38">
        <v>10</v>
      </c>
      <c r="C879" s="10">
        <v>0.33</v>
      </c>
      <c r="D879" s="10">
        <v>0.02</v>
      </c>
      <c r="E879" s="10">
        <v>3.56</v>
      </c>
      <c r="F879" s="10">
        <v>15.7</v>
      </c>
      <c r="G879" s="9"/>
    </row>
    <row r="880" spans="1:7" ht="15.75" x14ac:dyDescent="0.25">
      <c r="A880" s="59" t="s">
        <v>471</v>
      </c>
      <c r="B880" s="38">
        <v>25</v>
      </c>
      <c r="C880" s="10">
        <v>0.5</v>
      </c>
      <c r="D880" s="10">
        <v>3.75</v>
      </c>
      <c r="E880" s="10">
        <v>2</v>
      </c>
      <c r="F880" s="10">
        <v>40</v>
      </c>
      <c r="G880" s="9"/>
    </row>
    <row r="881" spans="1:7" ht="15.75" x14ac:dyDescent="0.25">
      <c r="A881" s="59" t="s">
        <v>193</v>
      </c>
      <c r="B881" s="38">
        <v>20</v>
      </c>
      <c r="C881" s="10">
        <v>1.2</v>
      </c>
      <c r="D881" s="10">
        <v>5.2</v>
      </c>
      <c r="E881" s="10">
        <v>0.6</v>
      </c>
      <c r="F881" s="10">
        <v>54</v>
      </c>
      <c r="G881" s="9"/>
    </row>
    <row r="882" spans="1:7" ht="15.75" x14ac:dyDescent="0.25">
      <c r="A882" s="59" t="s">
        <v>432</v>
      </c>
      <c r="B882" s="38">
        <v>2</v>
      </c>
      <c r="C882" s="10">
        <v>0.92200000000000004</v>
      </c>
      <c r="D882" s="10">
        <v>2E-3</v>
      </c>
      <c r="E882" s="10">
        <v>0.82</v>
      </c>
      <c r="F882" s="10">
        <v>6.98</v>
      </c>
      <c r="G882" s="9"/>
    </row>
    <row r="883" spans="1:7" ht="15.75" x14ac:dyDescent="0.25">
      <c r="A883" s="59" t="s">
        <v>251</v>
      </c>
      <c r="B883" s="38">
        <v>1</v>
      </c>
      <c r="C883" s="10">
        <v>0.25119999999999998</v>
      </c>
      <c r="D883" s="10">
        <v>0.55700000000000005</v>
      </c>
      <c r="E883" s="10">
        <v>0.123</v>
      </c>
      <c r="F883" s="10">
        <v>6.4924999999999997</v>
      </c>
      <c r="G883" s="9"/>
    </row>
    <row r="884" spans="1:7" ht="15.75" x14ac:dyDescent="0.25">
      <c r="A884" s="59" t="s">
        <v>469</v>
      </c>
      <c r="B884" s="38"/>
      <c r="C884" s="10"/>
      <c r="D884" s="10"/>
      <c r="E884" s="10"/>
      <c r="F884" s="10"/>
      <c r="G884" s="9"/>
    </row>
    <row r="885" spans="1:7" ht="15.75" x14ac:dyDescent="0.25">
      <c r="A885" s="59" t="s">
        <v>424</v>
      </c>
      <c r="B885" s="38"/>
      <c r="C885" s="10"/>
      <c r="D885" s="10"/>
      <c r="E885" s="10"/>
      <c r="F885" s="10"/>
      <c r="G885" s="9"/>
    </row>
    <row r="886" spans="1:7" ht="15.75" x14ac:dyDescent="0.25">
      <c r="A886" s="89" t="s">
        <v>425</v>
      </c>
      <c r="B886" s="38"/>
      <c r="C886" s="10"/>
      <c r="D886" s="10"/>
      <c r="E886" s="10"/>
      <c r="F886" s="10"/>
      <c r="G886" s="9"/>
    </row>
    <row r="887" spans="1:7" ht="15.75" x14ac:dyDescent="0.25">
      <c r="A887" s="70" t="s">
        <v>459</v>
      </c>
      <c r="B887" s="92"/>
      <c r="C887" s="93"/>
      <c r="D887" s="93"/>
      <c r="E887" s="62"/>
      <c r="F887" s="93"/>
      <c r="G887" s="9"/>
    </row>
    <row r="888" spans="1:7" ht="15.75" x14ac:dyDescent="0.25">
      <c r="A888" s="3" t="s">
        <v>472</v>
      </c>
      <c r="B888" s="4">
        <v>256</v>
      </c>
      <c r="C888" s="5">
        <f>SUM(C889:C896)</f>
        <v>25.380999999999997</v>
      </c>
      <c r="D888" s="5">
        <f>SUM(D889:D896)</f>
        <v>22.056000000000001</v>
      </c>
      <c r="E888" s="5">
        <f>SUM(E889:E896)</f>
        <v>38.300000000000004</v>
      </c>
      <c r="F888" s="5">
        <f>SUM(F889:F896)</f>
        <v>449.88</v>
      </c>
      <c r="G888" s="5">
        <f>F888/B888*100</f>
        <v>175.734375</v>
      </c>
    </row>
    <row r="889" spans="1:7" ht="15.75" x14ac:dyDescent="0.25">
      <c r="A889" s="89" t="s">
        <v>434</v>
      </c>
      <c r="B889" s="38">
        <v>100</v>
      </c>
      <c r="C889" s="9">
        <v>3</v>
      </c>
      <c r="D889" s="9">
        <v>0</v>
      </c>
      <c r="E889" s="9">
        <v>35</v>
      </c>
      <c r="F889" s="10">
        <v>159</v>
      </c>
      <c r="G889" s="9"/>
    </row>
    <row r="890" spans="1:7" ht="15.75" x14ac:dyDescent="0.25">
      <c r="A890" s="89" t="s">
        <v>11</v>
      </c>
      <c r="B890" s="38">
        <v>100</v>
      </c>
      <c r="C890" s="9">
        <v>19.399999999999999</v>
      </c>
      <c r="D890" s="10">
        <v>11.64</v>
      </c>
      <c r="E890" s="9">
        <v>1.27</v>
      </c>
      <c r="F890" s="9">
        <v>177.14</v>
      </c>
      <c r="G890" s="9"/>
    </row>
    <row r="891" spans="1:7" ht="15.75" x14ac:dyDescent="0.25">
      <c r="A891" s="89" t="s">
        <v>153</v>
      </c>
      <c r="B891" s="38">
        <v>15</v>
      </c>
      <c r="C891" s="10">
        <v>0.12</v>
      </c>
      <c r="D891" s="10">
        <v>1.4999999999999999E-2</v>
      </c>
      <c r="E891" s="10">
        <v>0.42</v>
      </c>
      <c r="F891" s="10">
        <v>2.25</v>
      </c>
      <c r="G891" s="9"/>
    </row>
    <row r="892" spans="1:7" ht="15.75" x14ac:dyDescent="0.25">
      <c r="A892" s="89" t="s">
        <v>193</v>
      </c>
      <c r="B892" s="38">
        <v>40</v>
      </c>
      <c r="C892" s="10">
        <v>2.4</v>
      </c>
      <c r="D892" s="10">
        <v>10.4</v>
      </c>
      <c r="E892" s="10">
        <v>1.2</v>
      </c>
      <c r="F892" s="10">
        <v>108</v>
      </c>
      <c r="G892" s="9"/>
    </row>
    <row r="893" spans="1:7" ht="15.75" x14ac:dyDescent="0.25">
      <c r="A893" s="89" t="s">
        <v>432</v>
      </c>
      <c r="B893" s="38">
        <v>1</v>
      </c>
      <c r="C893" s="10">
        <v>0.46100000000000002</v>
      </c>
      <c r="D893" s="10">
        <v>1E-3</v>
      </c>
      <c r="E893" s="10">
        <v>0.41</v>
      </c>
      <c r="F893" s="10">
        <v>3.49</v>
      </c>
      <c r="G893" s="9"/>
    </row>
    <row r="894" spans="1:7" ht="15.75" x14ac:dyDescent="0.25">
      <c r="A894" s="59" t="s">
        <v>469</v>
      </c>
      <c r="B894" s="38"/>
      <c r="C894" s="10"/>
      <c r="D894" s="10"/>
      <c r="E894" s="10"/>
      <c r="F894" s="10"/>
      <c r="G894" s="9"/>
    </row>
    <row r="895" spans="1:7" ht="15.75" x14ac:dyDescent="0.25">
      <c r="A895" s="89" t="s">
        <v>424</v>
      </c>
      <c r="B895" s="38"/>
      <c r="C895" s="10"/>
      <c r="D895" s="10"/>
      <c r="E895" s="10"/>
      <c r="F895" s="10"/>
      <c r="G895" s="9"/>
    </row>
    <row r="896" spans="1:7" ht="15.75" x14ac:dyDescent="0.25">
      <c r="A896" s="89" t="s">
        <v>425</v>
      </c>
      <c r="B896" s="38"/>
      <c r="C896" s="10"/>
      <c r="D896" s="10"/>
      <c r="E896" s="10"/>
      <c r="F896" s="10"/>
      <c r="G896" s="9"/>
    </row>
    <row r="897" spans="1:7" ht="15.75" x14ac:dyDescent="0.25">
      <c r="A897" s="70" t="s">
        <v>459</v>
      </c>
      <c r="B897" s="92"/>
      <c r="C897" s="93"/>
      <c r="D897" s="93"/>
      <c r="E897" s="62"/>
      <c r="F897" s="93"/>
      <c r="G897" s="9"/>
    </row>
    <row r="898" spans="1:7" ht="15.75" x14ac:dyDescent="0.25">
      <c r="A898" s="3" t="s">
        <v>473</v>
      </c>
      <c r="B898" s="4">
        <v>271</v>
      </c>
      <c r="C898" s="5">
        <f>SUM(C899:C908)</f>
        <v>22.8508</v>
      </c>
      <c r="D898" s="5">
        <f>SUM(D899:D908)</f>
        <v>17.216000000000001</v>
      </c>
      <c r="E898" s="5">
        <f>SUM(E899:E908)</f>
        <v>94.093000000000004</v>
      </c>
      <c r="F898" s="5">
        <f>SUM(F899:F908)</f>
        <v>627.16200000000003</v>
      </c>
      <c r="G898" s="5">
        <f>F898/B898*100</f>
        <v>231.42509225092255</v>
      </c>
    </row>
    <row r="899" spans="1:7" ht="15.75" x14ac:dyDescent="0.25">
      <c r="A899" s="59" t="s">
        <v>434</v>
      </c>
      <c r="B899" s="38">
        <v>80</v>
      </c>
      <c r="C899" s="9">
        <v>2.4</v>
      </c>
      <c r="D899" s="9">
        <v>0</v>
      </c>
      <c r="E899" s="9">
        <v>28</v>
      </c>
      <c r="F899" s="10">
        <v>127.2</v>
      </c>
      <c r="G899" s="9"/>
    </row>
    <row r="900" spans="1:7" ht="15.75" x14ac:dyDescent="0.25">
      <c r="A900" s="59" t="s">
        <v>11</v>
      </c>
      <c r="B900" s="38">
        <v>30</v>
      </c>
      <c r="C900" s="9">
        <v>5.82</v>
      </c>
      <c r="D900" s="10">
        <v>3.492</v>
      </c>
      <c r="E900" s="9">
        <v>0.38100000000000001</v>
      </c>
      <c r="F900" s="9">
        <v>53.142000000000003</v>
      </c>
      <c r="G900" s="9"/>
    </row>
    <row r="901" spans="1:7" ht="15.75" x14ac:dyDescent="0.25">
      <c r="A901" s="59" t="s">
        <v>44</v>
      </c>
      <c r="B901" s="38">
        <v>20</v>
      </c>
      <c r="C901" s="10">
        <v>3.84</v>
      </c>
      <c r="D901" s="10">
        <v>0.12</v>
      </c>
      <c r="E901" s="10">
        <v>0</v>
      </c>
      <c r="F901" s="10">
        <v>17.8</v>
      </c>
      <c r="G901" s="9"/>
    </row>
    <row r="902" spans="1:7" ht="15.75" x14ac:dyDescent="0.25">
      <c r="A902" s="59" t="s">
        <v>432</v>
      </c>
      <c r="B902" s="38">
        <v>1</v>
      </c>
      <c r="C902" s="10">
        <v>0.46100000000000002</v>
      </c>
      <c r="D902" s="10">
        <v>1E-3</v>
      </c>
      <c r="E902" s="10">
        <v>0.41</v>
      </c>
      <c r="F902" s="10">
        <v>3.49</v>
      </c>
      <c r="G902" s="9"/>
    </row>
    <row r="903" spans="1:7" ht="15.75" x14ac:dyDescent="0.25">
      <c r="A903" s="59" t="s">
        <v>193</v>
      </c>
      <c r="B903" s="38">
        <v>20</v>
      </c>
      <c r="C903" s="10">
        <v>1.2</v>
      </c>
      <c r="D903" s="10">
        <v>5.2</v>
      </c>
      <c r="E903" s="10">
        <v>0.6</v>
      </c>
      <c r="F903" s="10">
        <v>54</v>
      </c>
      <c r="G903" s="9"/>
    </row>
    <row r="904" spans="1:7" ht="15.75" x14ac:dyDescent="0.25">
      <c r="A904" s="59" t="s">
        <v>462</v>
      </c>
      <c r="B904" s="38">
        <v>50</v>
      </c>
      <c r="C904" s="10">
        <v>1.03</v>
      </c>
      <c r="D904" s="10">
        <v>0.1</v>
      </c>
      <c r="E904" s="10">
        <v>15.87</v>
      </c>
      <c r="F904" s="10">
        <v>69.209999999999994</v>
      </c>
      <c r="G904" s="9"/>
    </row>
    <row r="905" spans="1:7" ht="15.75" x14ac:dyDescent="0.25">
      <c r="A905" s="59" t="s">
        <v>260</v>
      </c>
      <c r="B905" s="38">
        <v>50</v>
      </c>
      <c r="C905" s="10">
        <v>6.6</v>
      </c>
      <c r="D905" s="10">
        <v>1.05</v>
      </c>
      <c r="E905" s="10">
        <v>43</v>
      </c>
      <c r="F905" s="10">
        <v>207.85</v>
      </c>
      <c r="G905" s="9"/>
    </row>
    <row r="906" spans="1:7" ht="15.75" x14ac:dyDescent="0.25">
      <c r="A906" s="59" t="s">
        <v>23</v>
      </c>
      <c r="B906" s="38">
        <v>5</v>
      </c>
      <c r="C906" s="10">
        <v>0</v>
      </c>
      <c r="D906" s="10">
        <v>4.9950000000000001</v>
      </c>
      <c r="E906" s="10">
        <v>0</v>
      </c>
      <c r="F906" s="10">
        <v>44.95</v>
      </c>
      <c r="G906" s="9"/>
    </row>
    <row r="907" spans="1:7" ht="15.75" x14ac:dyDescent="0.25">
      <c r="A907" s="59" t="s">
        <v>463</v>
      </c>
      <c r="B907" s="38">
        <v>15</v>
      </c>
      <c r="C907" s="10">
        <v>0.495</v>
      </c>
      <c r="D907" s="10">
        <v>0.03</v>
      </c>
      <c r="E907" s="10">
        <v>5.34</v>
      </c>
      <c r="F907" s="10">
        <v>23.55</v>
      </c>
      <c r="G907" s="9"/>
    </row>
    <row r="908" spans="1:7" ht="15.75" x14ac:dyDescent="0.25">
      <c r="A908" s="89" t="s">
        <v>251</v>
      </c>
      <c r="B908" s="101">
        <v>4</v>
      </c>
      <c r="C908" s="12">
        <v>1.0047999999999999</v>
      </c>
      <c r="D908" s="12">
        <v>2.2280000000000002</v>
      </c>
      <c r="E908" s="12">
        <v>0.49199999999999999</v>
      </c>
      <c r="F908" s="12">
        <v>25.97</v>
      </c>
      <c r="G908" s="13"/>
    </row>
    <row r="909" spans="1:7" ht="15.75" x14ac:dyDescent="0.25">
      <c r="A909" s="59" t="s">
        <v>469</v>
      </c>
      <c r="B909" s="38"/>
      <c r="C909" s="9"/>
      <c r="D909" s="9"/>
      <c r="E909" s="10"/>
      <c r="F909" s="9"/>
      <c r="G909" s="9"/>
    </row>
    <row r="910" spans="1:7" ht="15.75" x14ac:dyDescent="0.25">
      <c r="A910" s="89" t="s">
        <v>424</v>
      </c>
      <c r="B910" s="48"/>
      <c r="C910" s="48"/>
      <c r="D910" s="48"/>
      <c r="E910" s="48"/>
      <c r="F910" s="48"/>
      <c r="G910" s="48"/>
    </row>
    <row r="911" spans="1:7" ht="15.75" x14ac:dyDescent="0.25">
      <c r="A911" s="89" t="s">
        <v>425</v>
      </c>
      <c r="B911" s="104"/>
      <c r="C911" s="105"/>
      <c r="D911" s="105"/>
      <c r="E911" s="105"/>
      <c r="F911" s="105"/>
      <c r="G911" s="106"/>
    </row>
    <row r="912" spans="1:7" ht="31.5" x14ac:dyDescent="0.25">
      <c r="A912" s="99" t="s">
        <v>474</v>
      </c>
      <c r="B912" s="179"/>
      <c r="C912" s="180"/>
      <c r="D912" s="180"/>
      <c r="E912" s="180"/>
      <c r="F912" s="180"/>
      <c r="G912" s="181"/>
    </row>
    <row r="913" spans="1:7" ht="15" customHeight="1" x14ac:dyDescent="0.25">
      <c r="A913" s="90" t="s">
        <v>541</v>
      </c>
      <c r="B913" s="4">
        <v>220</v>
      </c>
      <c r="C913" s="5">
        <f>SUM(C914:C921)</f>
        <v>17.100000000000001</v>
      </c>
      <c r="D913" s="5">
        <f>SUM(D914:D921)</f>
        <v>7.92</v>
      </c>
      <c r="E913" s="5">
        <f>SUM(E914:E921)</f>
        <v>39.96</v>
      </c>
      <c r="F913" s="5">
        <f>SUM(F914:F921)</f>
        <v>299.68</v>
      </c>
      <c r="G913" s="15">
        <f>F913/B913*100</f>
        <v>136.21818181818182</v>
      </c>
    </row>
    <row r="914" spans="1:7" ht="15" customHeight="1" x14ac:dyDescent="0.25">
      <c r="A914" s="70" t="s">
        <v>537</v>
      </c>
      <c r="B914" s="128">
        <v>40</v>
      </c>
      <c r="C914" s="123">
        <v>8.64</v>
      </c>
      <c r="D914" s="123">
        <v>0.27</v>
      </c>
      <c r="E914" s="124">
        <v>0</v>
      </c>
      <c r="F914" s="113">
        <v>40.049999999999997</v>
      </c>
      <c r="G914" s="85"/>
    </row>
    <row r="915" spans="1:7" ht="15" customHeight="1" x14ac:dyDescent="0.25">
      <c r="A915" s="70" t="s">
        <v>422</v>
      </c>
      <c r="B915" s="128">
        <v>100</v>
      </c>
      <c r="C915" s="98">
        <v>3</v>
      </c>
      <c r="D915" s="98">
        <v>0</v>
      </c>
      <c r="E915" s="125">
        <v>35</v>
      </c>
      <c r="F915" s="98">
        <v>159</v>
      </c>
      <c r="G915" s="87"/>
    </row>
    <row r="916" spans="1:7" ht="15" customHeight="1" x14ac:dyDescent="0.25">
      <c r="A916" s="70" t="s">
        <v>136</v>
      </c>
      <c r="B916" s="128">
        <v>30</v>
      </c>
      <c r="C916" s="98">
        <v>3.9</v>
      </c>
      <c r="D916" s="98">
        <v>0.93</v>
      </c>
      <c r="E916" s="125">
        <v>3</v>
      </c>
      <c r="F916" s="98">
        <v>27.63</v>
      </c>
      <c r="G916" s="87"/>
    </row>
    <row r="917" spans="1:7" ht="15" customHeight="1" x14ac:dyDescent="0.25">
      <c r="A917" s="70" t="s">
        <v>119</v>
      </c>
      <c r="B917" s="128">
        <v>10</v>
      </c>
      <c r="C917" s="98">
        <v>0.2</v>
      </c>
      <c r="D917" s="98">
        <v>1.5</v>
      </c>
      <c r="E917" s="125">
        <v>0.8</v>
      </c>
      <c r="F917" s="98">
        <v>16</v>
      </c>
      <c r="G917" s="87"/>
    </row>
    <row r="918" spans="1:7" ht="15" customHeight="1" x14ac:dyDescent="0.25">
      <c r="A918" s="70" t="s">
        <v>168</v>
      </c>
      <c r="B918" s="128">
        <v>20</v>
      </c>
      <c r="C918" s="98">
        <v>0.16</v>
      </c>
      <c r="D918" s="98">
        <v>0.02</v>
      </c>
      <c r="E918" s="125">
        <v>0.56000000000000005</v>
      </c>
      <c r="F918" s="98">
        <v>3</v>
      </c>
      <c r="G918" s="87"/>
    </row>
    <row r="919" spans="1:7" ht="15" customHeight="1" x14ac:dyDescent="0.25">
      <c r="A919" s="70" t="s">
        <v>193</v>
      </c>
      <c r="B919" s="128">
        <v>20</v>
      </c>
      <c r="C919" s="98">
        <v>1.2</v>
      </c>
      <c r="D919" s="98">
        <v>5.2</v>
      </c>
      <c r="E919" s="125">
        <v>0.6</v>
      </c>
      <c r="F919" s="98">
        <v>54</v>
      </c>
      <c r="G919" s="87"/>
    </row>
    <row r="920" spans="1:7" ht="15" customHeight="1" x14ac:dyDescent="0.25">
      <c r="A920" s="70" t="s">
        <v>432</v>
      </c>
      <c r="B920" s="128">
        <v>0</v>
      </c>
      <c r="C920" s="98">
        <v>0</v>
      </c>
      <c r="D920" s="98">
        <v>0</v>
      </c>
      <c r="E920" s="125">
        <v>0</v>
      </c>
      <c r="F920" s="98">
        <v>0</v>
      </c>
      <c r="G920" s="87"/>
    </row>
    <row r="921" spans="1:7" ht="15" customHeight="1" x14ac:dyDescent="0.25">
      <c r="A921" s="70" t="s">
        <v>542</v>
      </c>
      <c r="B921" s="128"/>
      <c r="C921" s="98"/>
      <c r="D921" s="98"/>
      <c r="E921" s="125"/>
      <c r="F921" s="98"/>
      <c r="G921" s="87"/>
    </row>
    <row r="922" spans="1:7" ht="15.75" x14ac:dyDescent="0.25">
      <c r="A922" s="3" t="s">
        <v>423</v>
      </c>
      <c r="B922" s="4">
        <v>80</v>
      </c>
      <c r="C922" s="5">
        <f>SUM(C923:C925)</f>
        <v>1.1599999999999999</v>
      </c>
      <c r="D922" s="5">
        <f>SUM(D923:D925)</f>
        <v>0.03</v>
      </c>
      <c r="E922" s="5">
        <f>SUM(E923:E925)</f>
        <v>11.225</v>
      </c>
      <c r="F922" s="5">
        <f>SUM(F923:F925)</f>
        <v>91.62</v>
      </c>
      <c r="G922" s="5">
        <f>F922/B922*100</f>
        <v>114.52500000000001</v>
      </c>
    </row>
    <row r="923" spans="1:7" ht="15.75" x14ac:dyDescent="0.25">
      <c r="A923" s="89" t="s">
        <v>475</v>
      </c>
      <c r="B923" s="38">
        <v>20</v>
      </c>
      <c r="C923" s="9">
        <v>0.2</v>
      </c>
      <c r="D923" s="9">
        <v>0</v>
      </c>
      <c r="E923" s="9">
        <v>1.8</v>
      </c>
      <c r="F923" s="10">
        <v>8.1999999999999993</v>
      </c>
      <c r="G923" s="9"/>
    </row>
    <row r="924" spans="1:7" ht="15.75" x14ac:dyDescent="0.25">
      <c r="A924" s="89" t="s">
        <v>476</v>
      </c>
      <c r="B924" s="38">
        <v>10</v>
      </c>
      <c r="C924" s="9">
        <v>0.24</v>
      </c>
      <c r="D924" s="10">
        <v>0.03</v>
      </c>
      <c r="E924" s="9">
        <v>1.18</v>
      </c>
      <c r="F924" s="9">
        <v>5.45</v>
      </c>
      <c r="G924" s="9"/>
    </row>
    <row r="925" spans="1:7" ht="15.75" x14ac:dyDescent="0.25">
      <c r="A925" s="89" t="s">
        <v>477</v>
      </c>
      <c r="B925" s="38">
        <v>50</v>
      </c>
      <c r="C925" s="10">
        <v>0.72</v>
      </c>
      <c r="D925" s="10">
        <v>0</v>
      </c>
      <c r="E925" s="10">
        <v>8.2449999999999992</v>
      </c>
      <c r="F925" s="10">
        <v>77.97</v>
      </c>
      <c r="G925" s="9"/>
    </row>
    <row r="926" spans="1:7" ht="21" x14ac:dyDescent="0.25">
      <c r="A926" s="174" t="s">
        <v>478</v>
      </c>
      <c r="B926" s="175"/>
      <c r="C926" s="175"/>
      <c r="D926" s="175"/>
      <c r="E926" s="175"/>
      <c r="F926" s="175"/>
      <c r="G926" s="176"/>
    </row>
    <row r="927" spans="1:7" ht="15.75" x14ac:dyDescent="0.25">
      <c r="A927" s="3" t="s">
        <v>479</v>
      </c>
      <c r="B927" s="4">
        <v>320</v>
      </c>
      <c r="C927" s="5">
        <f>SUM(C928:C932)</f>
        <v>46</v>
      </c>
      <c r="D927" s="5">
        <f>SUM(D928:D932)</f>
        <v>22.770000000000003</v>
      </c>
      <c r="E927" s="5">
        <f>SUM(E928:E932)</f>
        <v>25.99</v>
      </c>
      <c r="F927" s="5">
        <f>SUM(F928:F932)</f>
        <v>491.81999999999994</v>
      </c>
      <c r="G927" s="6">
        <f>F927/B927*100</f>
        <v>153.69374999999999</v>
      </c>
    </row>
    <row r="928" spans="1:7" ht="15.75" x14ac:dyDescent="0.25">
      <c r="A928" s="59" t="s">
        <v>480</v>
      </c>
      <c r="B928" s="60">
        <v>200</v>
      </c>
      <c r="C928" s="9">
        <v>42.6</v>
      </c>
      <c r="D928" s="9">
        <v>22</v>
      </c>
      <c r="E928" s="9">
        <v>0.2</v>
      </c>
      <c r="F928" s="10">
        <v>370</v>
      </c>
      <c r="G928" s="9"/>
    </row>
    <row r="929" spans="1:7" ht="15.75" x14ac:dyDescent="0.25">
      <c r="A929" s="59" t="s">
        <v>481</v>
      </c>
      <c r="B929" s="60">
        <v>30</v>
      </c>
      <c r="C929" s="10">
        <v>0.3</v>
      </c>
      <c r="D929" s="10">
        <v>0.03</v>
      </c>
      <c r="E929" s="10">
        <v>4.71</v>
      </c>
      <c r="F929" s="10">
        <v>20.28</v>
      </c>
      <c r="G929" s="9"/>
    </row>
    <row r="930" spans="1:7" ht="15.75" x14ac:dyDescent="0.25">
      <c r="A930" s="59" t="s">
        <v>556</v>
      </c>
      <c r="B930" s="147">
        <v>20</v>
      </c>
      <c r="C930" s="10">
        <v>1.96</v>
      </c>
      <c r="D930" s="10">
        <v>0.12</v>
      </c>
      <c r="E930" s="10">
        <v>12.68</v>
      </c>
      <c r="F930" s="10">
        <v>59.64</v>
      </c>
      <c r="G930" s="9"/>
    </row>
    <row r="931" spans="1:7" ht="15.75" x14ac:dyDescent="0.25">
      <c r="A931" s="59" t="s">
        <v>557</v>
      </c>
      <c r="B931" s="147">
        <v>20</v>
      </c>
      <c r="C931" s="10">
        <v>0.14000000000000001</v>
      </c>
      <c r="D931" s="10">
        <v>0.12</v>
      </c>
      <c r="E931" s="10">
        <v>2.9</v>
      </c>
      <c r="F931" s="10">
        <v>14.4</v>
      </c>
      <c r="G931" s="9"/>
    </row>
    <row r="932" spans="1:7" ht="15.75" x14ac:dyDescent="0.25">
      <c r="A932" s="59" t="s">
        <v>482</v>
      </c>
      <c r="B932" s="60">
        <v>50</v>
      </c>
      <c r="C932" s="10">
        <v>1</v>
      </c>
      <c r="D932" s="10">
        <v>0.5</v>
      </c>
      <c r="E932" s="10">
        <v>5.5</v>
      </c>
      <c r="F932" s="10">
        <v>27.5</v>
      </c>
      <c r="G932" s="9"/>
    </row>
    <row r="933" spans="1:7" ht="31.5" x14ac:dyDescent="0.25">
      <c r="A933" s="70" t="s">
        <v>553</v>
      </c>
      <c r="B933" s="60"/>
      <c r="C933" s="10"/>
      <c r="D933" s="10"/>
      <c r="E933" s="10"/>
      <c r="F933" s="10"/>
      <c r="G933" s="9"/>
    </row>
    <row r="934" spans="1:7" ht="15.75" x14ac:dyDescent="0.25">
      <c r="A934" s="3" t="s">
        <v>483</v>
      </c>
      <c r="B934" s="4">
        <v>420</v>
      </c>
      <c r="C934" s="5">
        <f>SUM(C935:C939)</f>
        <v>59.199999999999996</v>
      </c>
      <c r="D934" s="5">
        <f>SUM(D935:D939)</f>
        <v>48.769999999999996</v>
      </c>
      <c r="E934" s="5">
        <f>SUM(E935:E939)</f>
        <v>25.79</v>
      </c>
      <c r="F934" s="5">
        <f>SUM(F935:F939)</f>
        <v>775.81999999999994</v>
      </c>
      <c r="G934" s="15">
        <f>F934/B934*100</f>
        <v>184.71904761904761</v>
      </c>
    </row>
    <row r="935" spans="1:7" ht="15.75" x14ac:dyDescent="0.25">
      <c r="A935" s="59" t="s">
        <v>484</v>
      </c>
      <c r="B935" s="60">
        <v>300</v>
      </c>
      <c r="C935" s="17">
        <v>55.8</v>
      </c>
      <c r="D935" s="17">
        <v>48</v>
      </c>
      <c r="E935" s="17">
        <v>0</v>
      </c>
      <c r="F935" s="17">
        <v>654</v>
      </c>
      <c r="G935" s="18"/>
    </row>
    <row r="936" spans="1:7" ht="15.75" x14ac:dyDescent="0.25">
      <c r="A936" s="59" t="s">
        <v>481</v>
      </c>
      <c r="B936" s="60">
        <v>30</v>
      </c>
      <c r="C936" s="10">
        <v>0.3</v>
      </c>
      <c r="D936" s="10">
        <v>0.03</v>
      </c>
      <c r="E936" s="10">
        <v>4.71</v>
      </c>
      <c r="F936" s="10">
        <v>20.28</v>
      </c>
      <c r="G936" s="20"/>
    </row>
    <row r="937" spans="1:7" ht="15.75" x14ac:dyDescent="0.25">
      <c r="A937" s="59" t="s">
        <v>556</v>
      </c>
      <c r="B937" s="147">
        <v>20</v>
      </c>
      <c r="C937" s="10">
        <v>1.96</v>
      </c>
      <c r="D937" s="10">
        <v>0.12</v>
      </c>
      <c r="E937" s="10">
        <v>12.68</v>
      </c>
      <c r="F937" s="10">
        <v>59.64</v>
      </c>
      <c r="G937" s="20"/>
    </row>
    <row r="938" spans="1:7" ht="15.75" x14ac:dyDescent="0.25">
      <c r="A938" s="59" t="s">
        <v>557</v>
      </c>
      <c r="B938" s="147">
        <v>20</v>
      </c>
      <c r="C938" s="10">
        <v>0.14000000000000001</v>
      </c>
      <c r="D938" s="10">
        <v>0.12</v>
      </c>
      <c r="E938" s="10">
        <v>2.9</v>
      </c>
      <c r="F938" s="10">
        <v>14.4</v>
      </c>
      <c r="G938" s="20"/>
    </row>
    <row r="939" spans="1:7" ht="15.75" x14ac:dyDescent="0.25">
      <c r="A939" s="59" t="s">
        <v>482</v>
      </c>
      <c r="B939" s="60">
        <v>50</v>
      </c>
      <c r="C939" s="10">
        <v>1</v>
      </c>
      <c r="D939" s="10">
        <v>0.5</v>
      </c>
      <c r="E939" s="10">
        <v>5.5</v>
      </c>
      <c r="F939" s="10">
        <v>27.5</v>
      </c>
      <c r="G939" s="20"/>
    </row>
    <row r="940" spans="1:7" ht="31.5" x14ac:dyDescent="0.25">
      <c r="A940" s="70" t="s">
        <v>554</v>
      </c>
      <c r="B940" s="182"/>
      <c r="C940" s="183"/>
      <c r="D940" s="183"/>
      <c r="E940" s="183"/>
      <c r="F940" s="183"/>
      <c r="G940" s="184"/>
    </row>
    <row r="941" spans="1:7" ht="15.75" x14ac:dyDescent="0.25">
      <c r="A941" s="14" t="s">
        <v>485</v>
      </c>
      <c r="B941" s="4">
        <v>370</v>
      </c>
      <c r="C941" s="5">
        <f>SUM(C942:C948)</f>
        <v>41.85</v>
      </c>
      <c r="D941" s="5">
        <f>SUM(D942:D948)</f>
        <v>1.17</v>
      </c>
      <c r="E941" s="5">
        <f>SUM(E942:E948)</f>
        <v>61.64</v>
      </c>
      <c r="F941" s="5">
        <f>SUM(F942:F948)</f>
        <v>584.31999999999994</v>
      </c>
      <c r="G941" s="15">
        <f>F941/B941*100</f>
        <v>157.92432432432432</v>
      </c>
    </row>
    <row r="942" spans="1:7" ht="15.75" x14ac:dyDescent="0.25">
      <c r="A942" s="59" t="s">
        <v>486</v>
      </c>
      <c r="B942" s="60">
        <v>200</v>
      </c>
      <c r="C942" s="23">
        <v>38</v>
      </c>
      <c r="D942" s="23">
        <v>0.2</v>
      </c>
      <c r="E942" s="84">
        <v>34</v>
      </c>
      <c r="F942" s="9">
        <v>448</v>
      </c>
      <c r="G942" s="85"/>
    </row>
    <row r="943" spans="1:7" ht="15.75" x14ac:dyDescent="0.25">
      <c r="A943" s="59" t="s">
        <v>481</v>
      </c>
      <c r="B943" s="60">
        <v>30</v>
      </c>
      <c r="C943" s="10">
        <v>0.3</v>
      </c>
      <c r="D943" s="10">
        <v>0.03</v>
      </c>
      <c r="E943" s="86">
        <v>4.71</v>
      </c>
      <c r="F943" s="10">
        <v>20.28</v>
      </c>
      <c r="G943" s="87"/>
    </row>
    <row r="944" spans="1:7" ht="15.75" x14ac:dyDescent="0.25">
      <c r="A944" s="59" t="s">
        <v>556</v>
      </c>
      <c r="B944" s="147">
        <v>20</v>
      </c>
      <c r="C944" s="10">
        <v>1.96</v>
      </c>
      <c r="D944" s="10">
        <v>0.12</v>
      </c>
      <c r="E944" s="86">
        <v>12.68</v>
      </c>
      <c r="F944" s="10">
        <v>59.64</v>
      </c>
      <c r="G944" s="87"/>
    </row>
    <row r="945" spans="1:7" ht="15.75" x14ac:dyDescent="0.25">
      <c r="A945" s="59" t="s">
        <v>557</v>
      </c>
      <c r="B945" s="147">
        <v>20</v>
      </c>
      <c r="C945" s="10">
        <v>0.14000000000000001</v>
      </c>
      <c r="D945" s="10">
        <v>0.12</v>
      </c>
      <c r="E945" s="86">
        <v>2.9</v>
      </c>
      <c r="F945" s="10">
        <v>14.4</v>
      </c>
      <c r="G945" s="87"/>
    </row>
    <row r="946" spans="1:7" ht="15.75" x14ac:dyDescent="0.25">
      <c r="A946" s="59" t="s">
        <v>482</v>
      </c>
      <c r="B946" s="60">
        <v>50</v>
      </c>
      <c r="C946" s="10">
        <v>1</v>
      </c>
      <c r="D946" s="10">
        <v>0.5</v>
      </c>
      <c r="E946" s="86">
        <v>5.5</v>
      </c>
      <c r="F946" s="10">
        <v>27.5</v>
      </c>
      <c r="G946" s="87"/>
    </row>
    <row r="947" spans="1:7" ht="15.75" x14ac:dyDescent="0.25">
      <c r="A947" s="59" t="s">
        <v>487</v>
      </c>
      <c r="B947" s="60">
        <v>50</v>
      </c>
      <c r="C947" s="10">
        <v>0.45</v>
      </c>
      <c r="D947" s="10">
        <v>0.2</v>
      </c>
      <c r="E947" s="86">
        <v>1.85</v>
      </c>
      <c r="F947" s="10">
        <v>14.5</v>
      </c>
      <c r="G947" s="87"/>
    </row>
    <row r="948" spans="1:7" ht="31.5" x14ac:dyDescent="0.25">
      <c r="A948" s="70" t="s">
        <v>554</v>
      </c>
      <c r="B948" s="182"/>
      <c r="C948" s="183"/>
      <c r="D948" s="183"/>
      <c r="E948" s="183"/>
      <c r="F948" s="183"/>
      <c r="G948" s="184"/>
    </row>
    <row r="949" spans="1:7" ht="15.75" x14ac:dyDescent="0.25">
      <c r="A949" s="107" t="s">
        <v>488</v>
      </c>
      <c r="B949" s="108">
        <v>241</v>
      </c>
      <c r="C949" s="108">
        <f>SUM(C950:C955)</f>
        <v>11.770000000000001</v>
      </c>
      <c r="D949" s="108">
        <f>SUM(D950:D955)</f>
        <v>35.14</v>
      </c>
      <c r="E949" s="108">
        <f>SUM(E950:E955)</f>
        <v>85.9</v>
      </c>
      <c r="F949" s="108">
        <f>SUM(F950:F955)</f>
        <v>711.07</v>
      </c>
      <c r="G949" s="6">
        <f>F949*100/B949</f>
        <v>295.04979253112032</v>
      </c>
    </row>
    <row r="950" spans="1:7" ht="15.75" x14ac:dyDescent="0.25">
      <c r="A950" s="109" t="s">
        <v>489</v>
      </c>
      <c r="B950" s="110"/>
      <c r="C950" s="110">
        <v>2.92</v>
      </c>
      <c r="D950" s="110">
        <v>1.56</v>
      </c>
      <c r="E950" s="110">
        <v>21</v>
      </c>
      <c r="F950" s="110">
        <v>114</v>
      </c>
      <c r="G950" s="110"/>
    </row>
    <row r="951" spans="1:7" ht="15.75" x14ac:dyDescent="0.25">
      <c r="A951" s="109" t="s">
        <v>490</v>
      </c>
      <c r="B951" s="111"/>
      <c r="C951" s="111">
        <v>3.45</v>
      </c>
      <c r="D951" s="111">
        <v>0.65</v>
      </c>
      <c r="E951" s="111">
        <v>20.45</v>
      </c>
      <c r="F951" s="111">
        <v>104</v>
      </c>
      <c r="G951" s="111"/>
    </row>
    <row r="952" spans="1:7" ht="15.75" x14ac:dyDescent="0.25">
      <c r="A952" s="109" t="s">
        <v>491</v>
      </c>
      <c r="B952" s="111"/>
      <c r="C952" s="111">
        <v>0.4</v>
      </c>
      <c r="D952" s="111">
        <v>28.4</v>
      </c>
      <c r="E952" s="111">
        <v>0.56999999999999995</v>
      </c>
      <c r="F952" s="111">
        <v>259.47000000000003</v>
      </c>
      <c r="G952" s="111"/>
    </row>
    <row r="953" spans="1:7" ht="15.75" x14ac:dyDescent="0.25">
      <c r="A953" s="109" t="s">
        <v>191</v>
      </c>
      <c r="B953" s="111"/>
      <c r="C953" s="111">
        <v>2.08</v>
      </c>
      <c r="D953" s="111">
        <v>3</v>
      </c>
      <c r="E953" s="111">
        <v>22.88</v>
      </c>
      <c r="F953" s="111">
        <v>121.6</v>
      </c>
      <c r="G953" s="111"/>
    </row>
    <row r="954" spans="1:7" ht="15.75" x14ac:dyDescent="0.25">
      <c r="A954" s="109" t="s">
        <v>377</v>
      </c>
      <c r="B954" s="111"/>
      <c r="C954" s="111">
        <v>0</v>
      </c>
      <c r="D954" s="111">
        <v>0</v>
      </c>
      <c r="E954" s="111">
        <v>0</v>
      </c>
      <c r="F954" s="111">
        <v>0</v>
      </c>
      <c r="G954" s="111"/>
    </row>
    <row r="955" spans="1:7" ht="15.75" x14ac:dyDescent="0.25">
      <c r="A955" s="109" t="s">
        <v>374</v>
      </c>
      <c r="B955" s="111"/>
      <c r="C955" s="110">
        <v>2.92</v>
      </c>
      <c r="D955" s="110">
        <v>1.53</v>
      </c>
      <c r="E955" s="110">
        <v>21</v>
      </c>
      <c r="F955" s="110">
        <v>112</v>
      </c>
      <c r="G955" s="111"/>
    </row>
  </sheetData>
  <autoFilter ref="A4:H439"/>
  <mergeCells count="36">
    <mergeCell ref="B545:G545"/>
    <mergeCell ref="B682:G682"/>
    <mergeCell ref="A588:G588"/>
    <mergeCell ref="B912:G912"/>
    <mergeCell ref="A691:G691"/>
    <mergeCell ref="A622:G622"/>
    <mergeCell ref="B948:G948"/>
    <mergeCell ref="B940:G940"/>
    <mergeCell ref="A926:G926"/>
    <mergeCell ref="A730:G730"/>
    <mergeCell ref="B690:G690"/>
    <mergeCell ref="B411:G411"/>
    <mergeCell ref="A412:G412"/>
    <mergeCell ref="A463:G463"/>
    <mergeCell ref="B462:G462"/>
    <mergeCell ref="B348:G348"/>
    <mergeCell ref="B365:G365"/>
    <mergeCell ref="A386:G386"/>
    <mergeCell ref="B406:G406"/>
    <mergeCell ref="A298:G298"/>
    <mergeCell ref="B297:G297"/>
    <mergeCell ref="B320:G320"/>
    <mergeCell ref="B330:G330"/>
    <mergeCell ref="A58:G58"/>
    <mergeCell ref="A107:G107"/>
    <mergeCell ref="B203:G203"/>
    <mergeCell ref="B212:G212"/>
    <mergeCell ref="B249:G249"/>
    <mergeCell ref="A1:A2"/>
    <mergeCell ref="A3:G3"/>
    <mergeCell ref="F1:F2"/>
    <mergeCell ref="E1:E2"/>
    <mergeCell ref="D1:D2"/>
    <mergeCell ref="C1:C2"/>
    <mergeCell ref="B1:B2"/>
    <mergeCell ref="G1:G2"/>
  </mergeCells>
  <pageMargins left="0.70000004768371604" right="0.70000004768371604" top="0.75" bottom="0.75" header="0.30000001192092901" footer="0.30000001192092901"/>
  <pageSetup paperSize="9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opLeftCell="A40" workbookViewId="0">
      <selection activeCell="A65" sqref="A65"/>
    </sheetView>
  </sheetViews>
  <sheetFormatPr defaultColWidth="9.140625" defaultRowHeight="15" x14ac:dyDescent="0.25"/>
  <cols>
    <col min="1" max="1" width="88" customWidth="1"/>
    <col min="2" max="2" width="15.7109375" customWidth="1"/>
    <col min="3" max="3" width="19.7109375" customWidth="1"/>
    <col min="4" max="4" width="15" customWidth="1"/>
    <col min="5" max="5" width="17.42578125" customWidth="1"/>
    <col min="6" max="6" width="14.42578125" customWidth="1"/>
    <col min="7" max="7" width="18.28515625" customWidth="1"/>
  </cols>
  <sheetData>
    <row r="1" spans="1:7" x14ac:dyDescent="0.25">
      <c r="A1" s="172" t="s">
        <v>0</v>
      </c>
      <c r="B1" s="177" t="s">
        <v>1</v>
      </c>
      <c r="C1" s="177" t="s">
        <v>2</v>
      </c>
      <c r="D1" s="177" t="s">
        <v>3</v>
      </c>
      <c r="E1" s="177" t="s">
        <v>4</v>
      </c>
      <c r="F1" s="177" t="s">
        <v>5</v>
      </c>
      <c r="G1" s="177" t="s">
        <v>6</v>
      </c>
    </row>
    <row r="2" spans="1:7" ht="26.25" customHeight="1" x14ac:dyDescent="0.25">
      <c r="A2" s="173"/>
      <c r="B2" s="178"/>
      <c r="C2" s="178"/>
      <c r="D2" s="178"/>
      <c r="E2" s="178"/>
      <c r="F2" s="178"/>
      <c r="G2" s="178"/>
    </row>
    <row r="3" spans="1:7" ht="21" x14ac:dyDescent="0.25">
      <c r="A3" s="174" t="s">
        <v>492</v>
      </c>
      <c r="B3" s="175"/>
      <c r="C3" s="175"/>
      <c r="D3" s="175"/>
      <c r="E3" s="175"/>
      <c r="F3" s="175"/>
      <c r="G3" s="176"/>
    </row>
    <row r="4" spans="1:7" ht="15.75" x14ac:dyDescent="0.25">
      <c r="A4" s="3" t="s">
        <v>493</v>
      </c>
      <c r="B4" s="4">
        <v>127</v>
      </c>
      <c r="C4" s="5">
        <f>SUM(C5)</f>
        <v>3.4289999999999998</v>
      </c>
      <c r="D4" s="5">
        <f>SUM(D5)</f>
        <v>0.38100000000000001</v>
      </c>
      <c r="E4" s="5">
        <f>SUM(E5)</f>
        <v>5.9690000000000003</v>
      </c>
      <c r="F4" s="5">
        <f>SUM(F5)</f>
        <v>35.941000000000003</v>
      </c>
      <c r="G4" s="5">
        <f>F4/B4*100</f>
        <v>28.300000000000004</v>
      </c>
    </row>
    <row r="5" spans="1:7" ht="15.75" x14ac:dyDescent="0.25">
      <c r="A5" s="59" t="s">
        <v>494</v>
      </c>
      <c r="B5" s="112">
        <v>127</v>
      </c>
      <c r="C5" s="98">
        <v>3.4289999999999998</v>
      </c>
      <c r="D5" s="98">
        <v>0.38100000000000001</v>
      </c>
      <c r="E5" s="98">
        <v>5.9690000000000003</v>
      </c>
      <c r="F5" s="98">
        <v>35.941000000000003</v>
      </c>
      <c r="G5" s="9"/>
    </row>
    <row r="6" spans="1:7" ht="15.75" x14ac:dyDescent="0.25">
      <c r="A6" s="3" t="s">
        <v>495</v>
      </c>
      <c r="B6" s="4">
        <v>127</v>
      </c>
      <c r="C6" s="5">
        <f>SUM(C7)</f>
        <v>6.0960000000000001</v>
      </c>
      <c r="D6" s="5">
        <f>SUM(D7)</f>
        <v>0.50800000000000001</v>
      </c>
      <c r="E6" s="5">
        <f>SUM(E7)</f>
        <v>10.287000000000001</v>
      </c>
      <c r="F6" s="5">
        <f>SUM(F7)</f>
        <v>59.69</v>
      </c>
      <c r="G6" s="5">
        <f>F6/B6*100</f>
        <v>47</v>
      </c>
    </row>
    <row r="7" spans="1:7" ht="15.75" x14ac:dyDescent="0.25">
      <c r="A7" s="59" t="s">
        <v>496</v>
      </c>
      <c r="B7" s="112">
        <v>127</v>
      </c>
      <c r="C7" s="113">
        <v>6.0960000000000001</v>
      </c>
      <c r="D7" s="113">
        <v>0.50800000000000001</v>
      </c>
      <c r="E7" s="113">
        <v>10.287000000000001</v>
      </c>
      <c r="F7" s="98">
        <v>59.69</v>
      </c>
      <c r="G7" s="9"/>
    </row>
    <row r="8" spans="1:7" ht="15.75" x14ac:dyDescent="0.25">
      <c r="A8" s="3" t="s">
        <v>497</v>
      </c>
      <c r="B8" s="4">
        <v>127</v>
      </c>
      <c r="C8" s="5">
        <f>SUM(C9)</f>
        <v>3.048</v>
      </c>
      <c r="D8" s="5">
        <f>SUM(D9)</f>
        <v>0.38100000000000001</v>
      </c>
      <c r="E8" s="5">
        <f>SUM(E9)</f>
        <v>6.0960000000000001</v>
      </c>
      <c r="F8" s="5">
        <f>SUM(F9)</f>
        <v>38.1</v>
      </c>
      <c r="G8" s="5">
        <f>F8/B8*100</f>
        <v>30</v>
      </c>
    </row>
    <row r="9" spans="1:7" ht="15.75" x14ac:dyDescent="0.25">
      <c r="A9" s="59" t="s">
        <v>498</v>
      </c>
      <c r="B9" s="112">
        <v>127</v>
      </c>
      <c r="C9" s="113">
        <v>3.048</v>
      </c>
      <c r="D9" s="113">
        <v>0.38100000000000001</v>
      </c>
      <c r="E9" s="113">
        <v>6.0960000000000001</v>
      </c>
      <c r="F9" s="98">
        <v>38.1</v>
      </c>
      <c r="G9" s="9"/>
    </row>
    <row r="10" spans="1:7" ht="15.75" x14ac:dyDescent="0.25">
      <c r="A10" s="3" t="s">
        <v>499</v>
      </c>
      <c r="B10" s="4">
        <v>150</v>
      </c>
      <c r="C10" s="5">
        <f>SUM(C11)</f>
        <v>3.375</v>
      </c>
      <c r="D10" s="5">
        <f>SUM(D11)</f>
        <v>0.9</v>
      </c>
      <c r="E10" s="5">
        <f>SUM(E11)</f>
        <v>15.375</v>
      </c>
      <c r="F10" s="5">
        <f>SUM(F11)</f>
        <v>82.8</v>
      </c>
      <c r="G10" s="5">
        <f>F10/B10*100</f>
        <v>55.199999999999996</v>
      </c>
    </row>
    <row r="11" spans="1:7" ht="15.75" x14ac:dyDescent="0.25">
      <c r="A11" s="59" t="s">
        <v>500</v>
      </c>
      <c r="B11" s="112">
        <v>150</v>
      </c>
      <c r="C11" s="98">
        <v>3.375</v>
      </c>
      <c r="D11" s="98">
        <v>0.9</v>
      </c>
      <c r="E11" s="98">
        <v>15.375</v>
      </c>
      <c r="F11" s="98">
        <v>82.8</v>
      </c>
      <c r="G11" s="9"/>
    </row>
    <row r="12" spans="1:7" ht="15.75" x14ac:dyDescent="0.25">
      <c r="A12" s="3" t="s">
        <v>548</v>
      </c>
      <c r="B12" s="4">
        <v>150</v>
      </c>
      <c r="C12" s="5">
        <f>SUM(C13)</f>
        <v>6</v>
      </c>
      <c r="D12" s="5">
        <f>SUM(D13)</f>
        <v>0.45</v>
      </c>
      <c r="E12" s="5">
        <f>SUM(E13)</f>
        <v>31.95</v>
      </c>
      <c r="F12" s="5">
        <f>SUM(F13)</f>
        <v>151.5</v>
      </c>
      <c r="G12" s="5">
        <f>F12/B12*100</f>
        <v>101</v>
      </c>
    </row>
    <row r="13" spans="1:7" ht="15.75" x14ac:dyDescent="0.25">
      <c r="A13" s="59" t="s">
        <v>549</v>
      </c>
      <c r="B13" s="112">
        <v>150</v>
      </c>
      <c r="C13" s="113">
        <v>6</v>
      </c>
      <c r="D13" s="113">
        <v>0.45</v>
      </c>
      <c r="E13" s="113">
        <v>31.95</v>
      </c>
      <c r="F13" s="98">
        <v>151.5</v>
      </c>
      <c r="G13" s="9"/>
    </row>
    <row r="14" spans="1:7" ht="15.75" x14ac:dyDescent="0.25">
      <c r="A14" s="3" t="s">
        <v>501</v>
      </c>
      <c r="B14" s="4">
        <v>150</v>
      </c>
      <c r="C14" s="5">
        <f>SUM(C15)</f>
        <v>22.8</v>
      </c>
      <c r="D14" s="5">
        <f>SUM(D15)</f>
        <v>1.8</v>
      </c>
      <c r="E14" s="5">
        <f>SUM(E15)</f>
        <v>5.55</v>
      </c>
      <c r="F14" s="5">
        <f>SUM(F15)</f>
        <v>138</v>
      </c>
      <c r="G14" s="5">
        <f>F14/B14*100</f>
        <v>92</v>
      </c>
    </row>
    <row r="15" spans="1:7" ht="15.75" x14ac:dyDescent="0.25">
      <c r="A15" s="59" t="s">
        <v>502</v>
      </c>
      <c r="B15" s="112">
        <v>150</v>
      </c>
      <c r="C15" s="113">
        <v>22.8</v>
      </c>
      <c r="D15" s="113">
        <v>1.8</v>
      </c>
      <c r="E15" s="113">
        <v>5.55</v>
      </c>
      <c r="F15" s="98">
        <v>138</v>
      </c>
      <c r="G15" s="9"/>
    </row>
    <row r="16" spans="1:7" ht="15.75" x14ac:dyDescent="0.25">
      <c r="A16" s="59" t="s">
        <v>564</v>
      </c>
      <c r="B16" s="112">
        <v>50</v>
      </c>
      <c r="C16" s="113"/>
      <c r="D16" s="113"/>
      <c r="E16" s="113"/>
      <c r="F16" s="98"/>
      <c r="G16" s="9"/>
    </row>
    <row r="17" spans="1:7" ht="15.75" x14ac:dyDescent="0.25">
      <c r="A17" s="59" t="s">
        <v>506</v>
      </c>
      <c r="B17" s="112"/>
      <c r="C17" s="98"/>
      <c r="D17" s="98"/>
      <c r="E17" s="98"/>
      <c r="F17" s="98"/>
      <c r="G17" s="9"/>
    </row>
    <row r="18" spans="1:7" ht="15.75" x14ac:dyDescent="0.25">
      <c r="A18" s="59" t="s">
        <v>565</v>
      </c>
      <c r="B18" s="112"/>
      <c r="C18" s="98"/>
      <c r="D18" s="98"/>
      <c r="E18" s="98"/>
      <c r="F18" s="98"/>
      <c r="G18" s="9"/>
    </row>
    <row r="19" spans="1:7" ht="15.75" x14ac:dyDescent="0.25">
      <c r="A19" s="3" t="s">
        <v>503</v>
      </c>
      <c r="B19" s="4">
        <v>105</v>
      </c>
      <c r="C19" s="5">
        <f>SUM(C20:C23)</f>
        <v>18.899999999999999</v>
      </c>
      <c r="D19" s="5">
        <f>SUM(D20:D23)</f>
        <v>4.41</v>
      </c>
      <c r="E19" s="5">
        <f>SUM(E20:E23)</f>
        <v>0</v>
      </c>
      <c r="F19" s="5">
        <f>SUM(F20:F23)</f>
        <v>128.1</v>
      </c>
      <c r="G19" s="5">
        <f>F19/B19*100</f>
        <v>122</v>
      </c>
    </row>
    <row r="20" spans="1:7" ht="15.75" x14ac:dyDescent="0.25">
      <c r="A20" s="59" t="s">
        <v>504</v>
      </c>
      <c r="B20" s="112">
        <v>105</v>
      </c>
      <c r="C20" s="113">
        <v>18.899999999999999</v>
      </c>
      <c r="D20" s="113">
        <v>4.41</v>
      </c>
      <c r="E20" s="113">
        <v>0</v>
      </c>
      <c r="F20" s="98">
        <v>128.1</v>
      </c>
      <c r="G20" s="9"/>
    </row>
    <row r="21" spans="1:7" ht="15.75" x14ac:dyDescent="0.25">
      <c r="A21" s="59" t="s">
        <v>505</v>
      </c>
      <c r="B21" s="112">
        <v>50</v>
      </c>
      <c r="C21" s="113"/>
      <c r="D21" s="98"/>
      <c r="E21" s="113"/>
      <c r="F21" s="113"/>
      <c r="G21" s="9"/>
    </row>
    <row r="22" spans="1:7" ht="15.75" x14ac:dyDescent="0.25">
      <c r="A22" s="59" t="s">
        <v>506</v>
      </c>
      <c r="B22" s="112"/>
      <c r="C22" s="98"/>
      <c r="D22" s="98"/>
      <c r="E22" s="98"/>
      <c r="F22" s="98"/>
      <c r="G22" s="9"/>
    </row>
    <row r="23" spans="1:7" ht="15.75" x14ac:dyDescent="0.25">
      <c r="A23" s="59" t="s">
        <v>507</v>
      </c>
      <c r="B23" s="112"/>
      <c r="C23" s="98"/>
      <c r="D23" s="98"/>
      <c r="E23" s="98"/>
      <c r="F23" s="98"/>
      <c r="G23" s="9"/>
    </row>
    <row r="24" spans="1:7" ht="15.75" x14ac:dyDescent="0.25">
      <c r="A24" s="3" t="s">
        <v>508</v>
      </c>
      <c r="B24" s="4">
        <v>120</v>
      </c>
      <c r="C24" s="5">
        <f>SUM(C25:C28)</f>
        <v>27.6</v>
      </c>
      <c r="D24" s="5">
        <f>SUM(D25:D28)</f>
        <v>11.28</v>
      </c>
      <c r="E24" s="5">
        <f>SUM(E25:E28)</f>
        <v>0.24</v>
      </c>
      <c r="F24" s="5">
        <f>SUM(F25:F28)</f>
        <v>214.08</v>
      </c>
      <c r="G24" s="5">
        <f>F24/B24*100</f>
        <v>178.4</v>
      </c>
    </row>
    <row r="25" spans="1:7" ht="15.75" x14ac:dyDescent="0.25">
      <c r="A25" s="59" t="s">
        <v>509</v>
      </c>
      <c r="B25" s="112">
        <v>120</v>
      </c>
      <c r="C25" s="113">
        <v>27.6</v>
      </c>
      <c r="D25" s="113">
        <v>11.28</v>
      </c>
      <c r="E25" s="113">
        <v>0.24</v>
      </c>
      <c r="F25" s="98">
        <v>214.08</v>
      </c>
      <c r="G25" s="9"/>
    </row>
    <row r="26" spans="1:7" ht="15.75" x14ac:dyDescent="0.25">
      <c r="A26" s="59" t="s">
        <v>505</v>
      </c>
      <c r="B26" s="112">
        <v>50</v>
      </c>
      <c r="C26" s="113"/>
      <c r="D26" s="98"/>
      <c r="E26" s="113"/>
      <c r="F26" s="113"/>
      <c r="G26" s="9"/>
    </row>
    <row r="27" spans="1:7" ht="15.75" x14ac:dyDescent="0.25">
      <c r="A27" s="59" t="s">
        <v>506</v>
      </c>
      <c r="B27" s="112"/>
      <c r="C27" s="98"/>
      <c r="D27" s="98"/>
      <c r="E27" s="98"/>
      <c r="F27" s="98"/>
      <c r="G27" s="9"/>
    </row>
    <row r="28" spans="1:7" ht="15.75" x14ac:dyDescent="0.25">
      <c r="A28" s="59" t="s">
        <v>510</v>
      </c>
      <c r="B28" s="112"/>
      <c r="C28" s="98"/>
      <c r="D28" s="98"/>
      <c r="E28" s="98"/>
      <c r="F28" s="98"/>
      <c r="G28" s="9"/>
    </row>
    <row r="29" spans="1:7" ht="15.75" x14ac:dyDescent="0.25">
      <c r="A29" s="3" t="s">
        <v>511</v>
      </c>
      <c r="B29" s="4">
        <v>120</v>
      </c>
      <c r="C29" s="5">
        <f>SUM(C30:C33)</f>
        <v>27.24</v>
      </c>
      <c r="D29" s="5">
        <f>SUM(D30:D33)</f>
        <v>1.68</v>
      </c>
      <c r="E29" s="5">
        <f>SUM(E30:E33)</f>
        <v>0.72</v>
      </c>
      <c r="F29" s="5">
        <f>SUM(F30:F33)</f>
        <v>143.63999999999999</v>
      </c>
      <c r="G29" s="5">
        <f>F29/B29*100</f>
        <v>119.69999999999999</v>
      </c>
    </row>
    <row r="30" spans="1:7" ht="15.75" x14ac:dyDescent="0.25">
      <c r="A30" s="59" t="s">
        <v>512</v>
      </c>
      <c r="B30" s="112">
        <v>120</v>
      </c>
      <c r="C30" s="113">
        <v>27.24</v>
      </c>
      <c r="D30" s="113">
        <v>1.68</v>
      </c>
      <c r="E30" s="113">
        <v>0.72</v>
      </c>
      <c r="F30" s="98">
        <v>143.63999999999999</v>
      </c>
      <c r="G30" s="9"/>
    </row>
    <row r="31" spans="1:7" ht="15.75" x14ac:dyDescent="0.25">
      <c r="A31" s="59" t="s">
        <v>505</v>
      </c>
      <c r="B31" s="112">
        <v>50</v>
      </c>
      <c r="C31" s="113"/>
      <c r="D31" s="98"/>
      <c r="E31" s="113"/>
      <c r="F31" s="113"/>
      <c r="G31" s="9"/>
    </row>
    <row r="32" spans="1:7" ht="15.75" x14ac:dyDescent="0.25">
      <c r="A32" s="59" t="s">
        <v>506</v>
      </c>
      <c r="B32" s="112"/>
      <c r="C32" s="98"/>
      <c r="D32" s="98"/>
      <c r="E32" s="98"/>
      <c r="F32" s="98"/>
      <c r="G32" s="9"/>
    </row>
    <row r="33" spans="1:7" ht="15.75" x14ac:dyDescent="0.25">
      <c r="A33" s="59" t="s">
        <v>510</v>
      </c>
      <c r="B33" s="112"/>
      <c r="C33" s="98"/>
      <c r="D33" s="98"/>
      <c r="E33" s="98"/>
      <c r="F33" s="98"/>
      <c r="G33" s="9"/>
    </row>
    <row r="34" spans="1:7" ht="15.75" x14ac:dyDescent="0.25">
      <c r="A34" s="3" t="s">
        <v>513</v>
      </c>
      <c r="B34" s="4">
        <v>150</v>
      </c>
      <c r="C34" s="5">
        <f>SUM(C35)</f>
        <v>35.4</v>
      </c>
      <c r="D34" s="5">
        <f>SUM(D35)</f>
        <v>2.85</v>
      </c>
      <c r="E34" s="5">
        <f>SUM(E35)</f>
        <v>0</v>
      </c>
      <c r="F34" s="5">
        <f>SUM(F35)</f>
        <v>169.5</v>
      </c>
      <c r="G34" s="5">
        <f>F34/B34*100</f>
        <v>112.99999999999999</v>
      </c>
    </row>
    <row r="35" spans="1:7" ht="15.75" x14ac:dyDescent="0.25">
      <c r="A35" s="59" t="s">
        <v>514</v>
      </c>
      <c r="B35" s="112">
        <v>150</v>
      </c>
      <c r="C35" s="113">
        <v>35.4</v>
      </c>
      <c r="D35" s="113">
        <v>2.85</v>
      </c>
      <c r="E35" s="113">
        <v>0</v>
      </c>
      <c r="F35" s="98">
        <v>169.5</v>
      </c>
      <c r="G35" s="9"/>
    </row>
    <row r="36" spans="1:7" ht="15.75" x14ac:dyDescent="0.25">
      <c r="A36" s="3" t="s">
        <v>515</v>
      </c>
      <c r="B36" s="4">
        <v>150</v>
      </c>
      <c r="C36" s="5">
        <f>SUM(C37)</f>
        <v>29.7</v>
      </c>
      <c r="D36" s="5">
        <f>SUM(D37)</f>
        <v>3.75</v>
      </c>
      <c r="E36" s="5">
        <f>SUM(E37)</f>
        <v>0</v>
      </c>
      <c r="F36" s="5">
        <f>SUM(F37)</f>
        <v>157.80000000000001</v>
      </c>
      <c r="G36" s="5">
        <f>F36/B36*100</f>
        <v>105.2</v>
      </c>
    </row>
    <row r="37" spans="1:7" ht="15.75" x14ac:dyDescent="0.25">
      <c r="A37" s="59" t="s">
        <v>516</v>
      </c>
      <c r="B37" s="112">
        <v>150</v>
      </c>
      <c r="C37" s="113">
        <v>29.7</v>
      </c>
      <c r="D37" s="113">
        <v>3.75</v>
      </c>
      <c r="E37" s="113">
        <v>0</v>
      </c>
      <c r="F37" s="98">
        <v>157.80000000000001</v>
      </c>
      <c r="G37" s="9"/>
    </row>
    <row r="38" spans="1:7" ht="15.75" x14ac:dyDescent="0.25">
      <c r="A38" s="3" t="s">
        <v>517</v>
      </c>
      <c r="B38" s="4">
        <v>50</v>
      </c>
      <c r="C38" s="5">
        <f>SUM(C39)</f>
        <v>0.32979999999999998</v>
      </c>
      <c r="D38" s="5">
        <f>SUM(D39)</f>
        <v>1.38E-2</v>
      </c>
      <c r="E38" s="5">
        <f>SUM(E39)</f>
        <v>2.8592</v>
      </c>
      <c r="F38" s="5">
        <f>SUM(F39)</f>
        <v>12.334</v>
      </c>
      <c r="G38" s="5">
        <f>F38/B38*100</f>
        <v>24.667999999999999</v>
      </c>
    </row>
    <row r="39" spans="1:7" ht="15.75" x14ac:dyDescent="0.25">
      <c r="A39" s="59" t="s">
        <v>518</v>
      </c>
      <c r="B39" s="112">
        <v>50</v>
      </c>
      <c r="C39" s="98">
        <v>0.32979999999999998</v>
      </c>
      <c r="D39" s="98">
        <v>1.38E-2</v>
      </c>
      <c r="E39" s="98">
        <v>2.8592</v>
      </c>
      <c r="F39" s="98">
        <v>12.334</v>
      </c>
      <c r="G39" s="9"/>
    </row>
    <row r="40" spans="1:7" ht="26.25" customHeight="1" x14ac:dyDescent="0.25">
      <c r="A40" s="70" t="s">
        <v>519</v>
      </c>
      <c r="B40" s="114"/>
      <c r="C40" s="115"/>
      <c r="D40" s="115"/>
      <c r="E40" s="116"/>
      <c r="F40" s="115"/>
      <c r="G40" s="9"/>
    </row>
    <row r="41" spans="1:7" ht="15.75" x14ac:dyDescent="0.25">
      <c r="A41" s="3" t="s">
        <v>520</v>
      </c>
      <c r="B41" s="4">
        <v>50</v>
      </c>
      <c r="C41" s="5">
        <f>SUM(C42)</f>
        <v>3.67</v>
      </c>
      <c r="D41" s="5">
        <f>SUM(D42)</f>
        <v>1.331</v>
      </c>
      <c r="E41" s="5">
        <f>SUM(E42)</f>
        <v>20.449000000000002</v>
      </c>
      <c r="F41" s="5">
        <f>SUM(F42)</f>
        <v>109.09</v>
      </c>
      <c r="G41" s="5">
        <f>F41/B41*100</f>
        <v>218.18</v>
      </c>
    </row>
    <row r="42" spans="1:7" ht="15.75" x14ac:dyDescent="0.25">
      <c r="A42" s="89" t="s">
        <v>521</v>
      </c>
      <c r="B42" s="112">
        <v>50</v>
      </c>
      <c r="C42" s="98">
        <v>3.67</v>
      </c>
      <c r="D42" s="98">
        <v>1.331</v>
      </c>
      <c r="E42" s="98">
        <v>20.449000000000002</v>
      </c>
      <c r="F42" s="98">
        <v>109.09</v>
      </c>
      <c r="G42" s="9"/>
    </row>
    <row r="43" spans="1:7" ht="16.5" customHeight="1" x14ac:dyDescent="0.25">
      <c r="A43" s="70" t="s">
        <v>522</v>
      </c>
      <c r="B43" s="114"/>
      <c r="C43" s="115"/>
      <c r="D43" s="115"/>
      <c r="E43" s="116"/>
      <c r="F43" s="115"/>
      <c r="G43" s="9"/>
    </row>
    <row r="44" spans="1:7" ht="15.75" x14ac:dyDescent="0.25">
      <c r="A44" s="3" t="s">
        <v>523</v>
      </c>
      <c r="B44" s="4">
        <v>50</v>
      </c>
      <c r="C44" s="5">
        <f>SUM(C45)</f>
        <v>3.2627999999999999</v>
      </c>
      <c r="D44" s="5">
        <f>SUM(D45)</f>
        <v>0.80130000000000001</v>
      </c>
      <c r="E44" s="5">
        <f>SUM(E45)</f>
        <v>2.1551999999999998</v>
      </c>
      <c r="F44" s="5">
        <f>SUM(F45)</f>
        <v>29.324000000000002</v>
      </c>
      <c r="G44" s="5">
        <f>F44/B44*100</f>
        <v>58.648000000000003</v>
      </c>
    </row>
    <row r="45" spans="1:7" ht="15.75" x14ac:dyDescent="0.25">
      <c r="A45" s="89" t="s">
        <v>524</v>
      </c>
      <c r="B45" s="112">
        <v>50</v>
      </c>
      <c r="C45" s="98">
        <v>3.2627999999999999</v>
      </c>
      <c r="D45" s="98">
        <v>0.80130000000000001</v>
      </c>
      <c r="E45" s="98">
        <v>2.1551999999999998</v>
      </c>
      <c r="F45" s="98">
        <v>29.324000000000002</v>
      </c>
      <c r="G45" s="9"/>
    </row>
    <row r="46" spans="1:7" ht="18" customHeight="1" x14ac:dyDescent="0.25">
      <c r="A46" s="70" t="s">
        <v>525</v>
      </c>
      <c r="B46" s="114"/>
      <c r="C46" s="115"/>
      <c r="D46" s="115"/>
      <c r="E46" s="116"/>
      <c r="F46" s="115"/>
      <c r="G46" s="9"/>
    </row>
    <row r="47" spans="1:7" ht="15.75" x14ac:dyDescent="0.25">
      <c r="A47" s="3" t="s">
        <v>526</v>
      </c>
      <c r="B47" s="4">
        <v>50</v>
      </c>
      <c r="C47" s="5">
        <f>SUM(C48)</f>
        <v>1.385</v>
      </c>
      <c r="D47" s="5">
        <f>SUM(D48)</f>
        <v>9.14</v>
      </c>
      <c r="E47" s="5">
        <f>SUM(E48)</f>
        <v>2.4445000000000001</v>
      </c>
      <c r="F47" s="5">
        <f>SUM(F48)</f>
        <v>98.53</v>
      </c>
      <c r="G47" s="5">
        <f>F47/B47*100</f>
        <v>197.06</v>
      </c>
    </row>
    <row r="48" spans="1:7" ht="15.75" x14ac:dyDescent="0.25">
      <c r="A48" s="59" t="s">
        <v>527</v>
      </c>
      <c r="B48" s="112">
        <v>50</v>
      </c>
      <c r="C48" s="98">
        <v>1.385</v>
      </c>
      <c r="D48" s="98">
        <v>9.14</v>
      </c>
      <c r="E48" s="98">
        <v>2.4445000000000001</v>
      </c>
      <c r="F48" s="98">
        <v>98.53</v>
      </c>
      <c r="G48" s="9"/>
    </row>
    <row r="49" spans="1:7" ht="23.25" customHeight="1" x14ac:dyDescent="0.25">
      <c r="A49" s="99" t="s">
        <v>528</v>
      </c>
      <c r="B49" s="112"/>
      <c r="C49" s="113"/>
      <c r="D49" s="113"/>
      <c r="E49" s="98"/>
      <c r="F49" s="113"/>
      <c r="G49" s="88"/>
    </row>
    <row r="50" spans="1:7" ht="15.75" x14ac:dyDescent="0.25">
      <c r="A50" s="203"/>
      <c r="B50" s="204"/>
      <c r="C50" s="204"/>
      <c r="D50" s="204"/>
      <c r="E50" s="204"/>
      <c r="F50" s="204"/>
      <c r="G50" s="205"/>
    </row>
    <row r="51" spans="1:7" ht="15.75" x14ac:dyDescent="0.25">
      <c r="A51" s="3" t="s">
        <v>529</v>
      </c>
      <c r="B51" s="4">
        <v>50</v>
      </c>
      <c r="C51" s="5">
        <f>SUM(C52)</f>
        <v>0.45</v>
      </c>
      <c r="D51" s="5">
        <f>SUM(D52)</f>
        <v>0.05</v>
      </c>
      <c r="E51" s="5">
        <f>SUM(E52)</f>
        <v>1.5</v>
      </c>
      <c r="F51" s="5">
        <f>SUM(F52)</f>
        <v>17</v>
      </c>
      <c r="G51" s="5">
        <f>F51/B51*100</f>
        <v>34</v>
      </c>
    </row>
    <row r="52" spans="1:7" ht="15.75" x14ac:dyDescent="0.25">
      <c r="A52" s="59" t="s">
        <v>530</v>
      </c>
      <c r="B52" s="112">
        <v>50</v>
      </c>
      <c r="C52" s="98">
        <v>0.45</v>
      </c>
      <c r="D52" s="98">
        <v>0.05</v>
      </c>
      <c r="E52" s="98">
        <v>1.5</v>
      </c>
      <c r="F52" s="98">
        <v>17</v>
      </c>
      <c r="G52" s="9"/>
    </row>
    <row r="53" spans="1:7" ht="15.75" x14ac:dyDescent="0.25">
      <c r="A53" s="3" t="s">
        <v>531</v>
      </c>
      <c r="B53" s="4">
        <v>19</v>
      </c>
      <c r="C53" s="5">
        <f>SUM(C54)</f>
        <v>0.1406</v>
      </c>
      <c r="D53" s="5">
        <f>SUM(D54)</f>
        <v>1.7100000000000001E-2</v>
      </c>
      <c r="E53" s="5">
        <f>SUM(E54)</f>
        <v>0.7429</v>
      </c>
      <c r="F53" s="5">
        <f>SUM(F54)</f>
        <v>3.8380000000000001</v>
      </c>
      <c r="G53" s="5">
        <f>F53/B53*100</f>
        <v>20.200000000000003</v>
      </c>
    </row>
    <row r="54" spans="1:7" ht="15.75" x14ac:dyDescent="0.25">
      <c r="A54" s="59" t="s">
        <v>532</v>
      </c>
      <c r="B54" s="112">
        <v>19</v>
      </c>
      <c r="C54" s="98">
        <v>0.1406</v>
      </c>
      <c r="D54" s="98">
        <v>1.7100000000000001E-2</v>
      </c>
      <c r="E54" s="98">
        <v>0.7429</v>
      </c>
      <c r="F54" s="98">
        <v>3.8380000000000001</v>
      </c>
      <c r="G54" s="9"/>
    </row>
    <row r="55" spans="1:7" x14ac:dyDescent="0.25">
      <c r="A55" s="117" t="s">
        <v>533</v>
      </c>
      <c r="B55" s="118">
        <v>60</v>
      </c>
      <c r="C55" s="118">
        <f>1.8/100*60</f>
        <v>1.08</v>
      </c>
      <c r="D55" s="118">
        <f>0.5/100*60</f>
        <v>0.3</v>
      </c>
      <c r="E55" s="118">
        <f>73.8/100*60</f>
        <v>44.28</v>
      </c>
      <c r="F55" s="118">
        <f>277/100*60</f>
        <v>166.2</v>
      </c>
      <c r="G55" s="118">
        <v>277</v>
      </c>
    </row>
    <row r="57" spans="1:7" ht="15.75" x14ac:dyDescent="0.25">
      <c r="A57" s="80" t="s">
        <v>534</v>
      </c>
      <c r="B57" s="118">
        <v>70</v>
      </c>
      <c r="C57" s="118">
        <f>C58+C59</f>
        <v>2.46</v>
      </c>
      <c r="D57" s="118">
        <f>D58+D59</f>
        <v>6.43</v>
      </c>
      <c r="E57" s="118">
        <f>E58+E59</f>
        <v>45.300000000000004</v>
      </c>
      <c r="F57" s="118">
        <f>F58+F59</f>
        <v>231</v>
      </c>
      <c r="G57" s="118">
        <v>330</v>
      </c>
    </row>
    <row r="58" spans="1:7" x14ac:dyDescent="0.25">
      <c r="A58" s="119" t="s">
        <v>533</v>
      </c>
      <c r="B58" s="120"/>
      <c r="C58" s="121">
        <f>1.8/100*60</f>
        <v>1.08</v>
      </c>
      <c r="D58" s="121">
        <f>0.5/100*60</f>
        <v>0.3</v>
      </c>
      <c r="E58" s="121">
        <f>73.8/100*60</f>
        <v>44.28</v>
      </c>
      <c r="F58" s="121">
        <f>277/100*60</f>
        <v>166.2</v>
      </c>
      <c r="G58" s="120"/>
    </row>
    <row r="59" spans="1:7" x14ac:dyDescent="0.25">
      <c r="A59" s="119" t="s">
        <v>535</v>
      </c>
      <c r="B59" s="121"/>
      <c r="C59" s="121">
        <v>1.38</v>
      </c>
      <c r="D59" s="121">
        <v>6.13</v>
      </c>
      <c r="E59" s="121">
        <v>1.02</v>
      </c>
      <c r="F59" s="121">
        <v>64.8</v>
      </c>
      <c r="G59" s="48"/>
    </row>
    <row r="60" spans="1:7" x14ac:dyDescent="0.25">
      <c r="A60" s="119" t="s">
        <v>536</v>
      </c>
      <c r="B60" s="122"/>
      <c r="C60" s="121">
        <v>0</v>
      </c>
      <c r="D60" s="121">
        <v>0</v>
      </c>
      <c r="E60" s="121">
        <v>0</v>
      </c>
      <c r="F60" s="121">
        <v>0</v>
      </c>
      <c r="G60" s="48"/>
    </row>
  </sheetData>
  <autoFilter ref="A4:I49"/>
  <mergeCells count="9">
    <mergeCell ref="G1:G2"/>
    <mergeCell ref="A3:G3"/>
    <mergeCell ref="A50:G50"/>
    <mergeCell ref="A1:A2"/>
    <mergeCell ref="B1:B2"/>
    <mergeCell ref="C1:C2"/>
    <mergeCell ref="D1:D2"/>
    <mergeCell ref="E1:E2"/>
    <mergeCell ref="F1:F2"/>
  </mergeCells>
  <pageMargins left="0.70000004768371604" right="0.70000004768371604" top="0.75" bottom="0.75" header="0.30000001192092901" footer="0.3000000119209290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0"/>
  <sheetViews>
    <sheetView tabSelected="1" topLeftCell="A13" zoomScale="80" zoomScaleNormal="80" workbookViewId="0">
      <selection activeCell="K47" sqref="K47"/>
    </sheetView>
  </sheetViews>
  <sheetFormatPr defaultRowHeight="15" x14ac:dyDescent="0.25"/>
  <cols>
    <col min="1" max="1" width="70.28515625" customWidth="1"/>
    <col min="2" max="2" width="16.5703125" customWidth="1"/>
    <col min="3" max="3" width="16.140625" customWidth="1"/>
    <col min="4" max="4" width="16.85546875" customWidth="1"/>
    <col min="5" max="5" width="15.42578125" customWidth="1"/>
    <col min="6" max="6" width="14.85546875" customWidth="1"/>
    <col min="7" max="7" width="14.5703125" customWidth="1"/>
  </cols>
  <sheetData>
    <row r="1" spans="1:7" ht="23.25" customHeight="1" x14ac:dyDescent="0.3">
      <c r="A1" s="154" t="s">
        <v>607</v>
      </c>
    </row>
    <row r="2" spans="1:7" s="129" customFormat="1" ht="15.75" x14ac:dyDescent="0.25">
      <c r="A2" s="130" t="s">
        <v>608</v>
      </c>
      <c r="B2" s="131">
        <v>227</v>
      </c>
      <c r="C2" s="132">
        <f>SUM(C3:C13)</f>
        <v>21.962849999999996</v>
      </c>
      <c r="D2" s="132">
        <f>SUM(D3:D13)</f>
        <v>28.213999999999995</v>
      </c>
      <c r="E2" s="132">
        <f>SUM(E3:E13)</f>
        <v>13.324249999999997</v>
      </c>
      <c r="F2" s="132">
        <f>SUM(F3:F13)</f>
        <v>394.4285000000001</v>
      </c>
      <c r="G2" s="133">
        <f>F2/B2*100</f>
        <v>173.75704845814982</v>
      </c>
    </row>
    <row r="3" spans="1:7" s="129" customFormat="1" ht="15.75" x14ac:dyDescent="0.25">
      <c r="A3" s="59" t="s">
        <v>317</v>
      </c>
      <c r="B3" s="151">
        <v>60</v>
      </c>
      <c r="C3" s="134">
        <v>14.399999999999999</v>
      </c>
      <c r="D3" s="134">
        <v>0.36</v>
      </c>
      <c r="E3" s="135">
        <v>0</v>
      </c>
      <c r="F3" s="136">
        <v>61.2</v>
      </c>
      <c r="G3" s="137"/>
    </row>
    <row r="4" spans="1:7" s="129" customFormat="1" ht="15.75" x14ac:dyDescent="0.25">
      <c r="A4" s="59" t="s">
        <v>609</v>
      </c>
      <c r="B4" s="151">
        <v>50</v>
      </c>
      <c r="C4" s="138">
        <v>1</v>
      </c>
      <c r="D4" s="138">
        <v>0.1</v>
      </c>
      <c r="E4" s="139">
        <v>1.8000000000000003</v>
      </c>
      <c r="F4" s="136">
        <v>12</v>
      </c>
      <c r="G4" s="140"/>
    </row>
    <row r="5" spans="1:7" s="129" customFormat="1" ht="15.75" x14ac:dyDescent="0.25">
      <c r="A5" s="59" t="s">
        <v>610</v>
      </c>
      <c r="B5" s="151">
        <v>45</v>
      </c>
      <c r="C5" s="138">
        <v>0.72</v>
      </c>
      <c r="D5" s="138">
        <v>0</v>
      </c>
      <c r="E5" s="139">
        <v>6.5699999999999994</v>
      </c>
      <c r="F5" s="136">
        <v>29.25</v>
      </c>
      <c r="G5" s="140"/>
    </row>
    <row r="6" spans="1:7" s="129" customFormat="1" ht="15.75" x14ac:dyDescent="0.25">
      <c r="A6" s="59" t="s">
        <v>155</v>
      </c>
      <c r="B6" s="151">
        <v>20</v>
      </c>
      <c r="C6" s="138">
        <v>2.62</v>
      </c>
      <c r="D6" s="138">
        <v>2.2200000000000002</v>
      </c>
      <c r="E6" s="139">
        <v>0.08</v>
      </c>
      <c r="F6" s="136">
        <v>31.6</v>
      </c>
      <c r="G6" s="140"/>
    </row>
    <row r="7" spans="1:7" s="129" customFormat="1" ht="15.75" x14ac:dyDescent="0.25">
      <c r="A7" s="59" t="s">
        <v>126</v>
      </c>
      <c r="B7" s="151">
        <v>15</v>
      </c>
      <c r="C7" s="138">
        <v>0.16350000000000001</v>
      </c>
      <c r="D7" s="138">
        <v>11.176500000000001</v>
      </c>
      <c r="E7" s="139">
        <v>2.3385000000000002</v>
      </c>
      <c r="F7" s="136">
        <v>110.76600000000001</v>
      </c>
      <c r="G7" s="140"/>
    </row>
    <row r="8" spans="1:7" s="129" customFormat="1" ht="18.600000000000001" customHeight="1" x14ac:dyDescent="0.25">
      <c r="A8" s="59" t="s">
        <v>611</v>
      </c>
      <c r="B8" s="151">
        <v>15</v>
      </c>
      <c r="C8" s="138">
        <v>0.56175000000000008</v>
      </c>
      <c r="D8" s="138">
        <v>9.6555</v>
      </c>
      <c r="E8" s="139">
        <v>1.1737500000000001</v>
      </c>
      <c r="F8" s="136">
        <v>92.392500000000013</v>
      </c>
      <c r="G8" s="140"/>
    </row>
    <row r="9" spans="1:7" s="129" customFormat="1" ht="15.75" x14ac:dyDescent="0.25">
      <c r="A9" s="59" t="s">
        <v>251</v>
      </c>
      <c r="B9" s="151">
        <v>8</v>
      </c>
      <c r="C9" s="138">
        <v>2.0096000000000003</v>
      </c>
      <c r="D9" s="138">
        <v>4.4560000000000004</v>
      </c>
      <c r="E9" s="139">
        <v>0.9840000000000001</v>
      </c>
      <c r="F9" s="136">
        <v>51.94</v>
      </c>
      <c r="G9" s="140"/>
    </row>
    <row r="10" spans="1:7" s="129" customFormat="1" ht="15.75" x14ac:dyDescent="0.25">
      <c r="A10" s="59" t="s">
        <v>612</v>
      </c>
      <c r="B10" s="151">
        <v>4</v>
      </c>
      <c r="C10" s="138">
        <v>0.10400000000000001</v>
      </c>
      <c r="D10" s="138">
        <v>2.7999999999999997E-2</v>
      </c>
      <c r="E10" s="139">
        <v>8.4000000000000005E-2</v>
      </c>
      <c r="F10" s="136">
        <v>1</v>
      </c>
      <c r="G10" s="140"/>
    </row>
    <row r="11" spans="1:7" s="129" customFormat="1" ht="15.75" x14ac:dyDescent="0.25">
      <c r="A11" s="59" t="s">
        <v>593</v>
      </c>
      <c r="B11" s="151">
        <v>4</v>
      </c>
      <c r="C11" s="134">
        <v>0.11599999999999999</v>
      </c>
      <c r="D11" s="134">
        <v>1.6E-2</v>
      </c>
      <c r="E11" s="135">
        <v>5.5999999999999994E-2</v>
      </c>
      <c r="F11" s="136">
        <v>0.92</v>
      </c>
      <c r="G11" s="137"/>
    </row>
    <row r="12" spans="1:7" s="129" customFormat="1" ht="15.75" x14ac:dyDescent="0.25">
      <c r="A12" s="59" t="s">
        <v>596</v>
      </c>
      <c r="B12" s="151">
        <v>4</v>
      </c>
      <c r="C12" s="138">
        <v>5.5999999999999994E-2</v>
      </c>
      <c r="D12" s="138">
        <v>8.0000000000000002E-3</v>
      </c>
      <c r="E12" s="139">
        <v>0.11599999999999999</v>
      </c>
      <c r="F12" s="136">
        <v>0.64</v>
      </c>
      <c r="G12" s="140"/>
    </row>
    <row r="13" spans="1:7" s="129" customFormat="1" ht="15.75" x14ac:dyDescent="0.25">
      <c r="A13" s="59" t="s">
        <v>613</v>
      </c>
      <c r="B13" s="151">
        <v>2</v>
      </c>
      <c r="C13" s="138">
        <v>0.21199999999999999</v>
      </c>
      <c r="D13" s="138">
        <v>0.19399999999999998</v>
      </c>
      <c r="E13" s="139">
        <v>0.122</v>
      </c>
      <c r="F13" s="136">
        <v>2.72</v>
      </c>
      <c r="G13" s="140"/>
    </row>
    <row r="14" spans="1:7" s="129" customFormat="1" ht="47.25" x14ac:dyDescent="0.25">
      <c r="A14" s="70" t="s">
        <v>614</v>
      </c>
      <c r="B14" s="151"/>
      <c r="C14" s="138"/>
      <c r="D14" s="138"/>
      <c r="E14" s="139"/>
      <c r="F14" s="136"/>
      <c r="G14" s="140"/>
    </row>
    <row r="15" spans="1:7" s="129" customFormat="1" ht="15.75" x14ac:dyDescent="0.25">
      <c r="A15" s="130" t="s">
        <v>709</v>
      </c>
      <c r="B15" s="131">
        <v>121</v>
      </c>
      <c r="C15" s="132">
        <f>SUM(C16:C20)</f>
        <v>9.0350000000000001</v>
      </c>
      <c r="D15" s="132">
        <f>SUM(D16:D20)</f>
        <v>8.2439999999999998</v>
      </c>
      <c r="E15" s="132">
        <f>SUM(E16:E20)</f>
        <v>11.756000000000002</v>
      </c>
      <c r="F15" s="132">
        <f>SUM(F16:F20)</f>
        <v>158.452</v>
      </c>
      <c r="G15" s="133">
        <f>F15/B15*100</f>
        <v>130.95206611570248</v>
      </c>
    </row>
    <row r="16" spans="1:7" s="129" customFormat="1" ht="15.75" x14ac:dyDescent="0.25">
      <c r="A16" s="59" t="s">
        <v>615</v>
      </c>
      <c r="B16" s="151">
        <v>30</v>
      </c>
      <c r="C16" s="138">
        <v>5.8199999999999994</v>
      </c>
      <c r="D16" s="138">
        <v>3.492</v>
      </c>
      <c r="E16" s="139">
        <v>0.38100000000000001</v>
      </c>
      <c r="F16" s="136">
        <v>53.141999999999996</v>
      </c>
      <c r="G16" s="140"/>
    </row>
    <row r="17" spans="1:7" s="129" customFormat="1" ht="15.75" x14ac:dyDescent="0.25">
      <c r="A17" s="59" t="s">
        <v>119</v>
      </c>
      <c r="B17" s="151">
        <v>30</v>
      </c>
      <c r="C17" s="138">
        <v>0.6</v>
      </c>
      <c r="D17" s="138">
        <v>4.5</v>
      </c>
      <c r="E17" s="139">
        <v>2.4</v>
      </c>
      <c r="F17" s="136">
        <v>48</v>
      </c>
      <c r="G17" s="140"/>
    </row>
    <row r="18" spans="1:7" s="129" customFormat="1" ht="15.75" x14ac:dyDescent="0.25">
      <c r="A18" s="59" t="s">
        <v>711</v>
      </c>
      <c r="B18" s="151">
        <v>60</v>
      </c>
      <c r="C18" s="138">
        <v>2.4300000000000002</v>
      </c>
      <c r="D18" s="138">
        <v>0.06</v>
      </c>
      <c r="E18" s="139">
        <v>8.6300000000000008</v>
      </c>
      <c r="F18" s="136">
        <v>53.66</v>
      </c>
      <c r="G18" s="140"/>
    </row>
    <row r="19" spans="1:7" s="129" customFormat="1" ht="15.75" x14ac:dyDescent="0.25">
      <c r="A19" s="59" t="s">
        <v>587</v>
      </c>
      <c r="B19" s="151">
        <v>1</v>
      </c>
      <c r="C19" s="138">
        <v>0.185</v>
      </c>
      <c r="D19" s="138">
        <v>0.192</v>
      </c>
      <c r="E19" s="139">
        <v>0.34499999999999997</v>
      </c>
      <c r="F19" s="136">
        <v>3.65</v>
      </c>
      <c r="G19" s="140"/>
    </row>
    <row r="20" spans="1:7" s="129" customFormat="1" ht="31.5" x14ac:dyDescent="0.25">
      <c r="A20" s="70" t="s">
        <v>616</v>
      </c>
      <c r="B20" s="151"/>
      <c r="C20" s="138"/>
      <c r="D20" s="138"/>
      <c r="E20" s="139"/>
      <c r="F20" s="136"/>
      <c r="G20" s="140"/>
    </row>
    <row r="21" spans="1:7" s="129" customFormat="1" ht="21.75" customHeight="1" x14ac:dyDescent="0.3">
      <c r="A21" s="155" t="s">
        <v>617</v>
      </c>
      <c r="B21" s="144"/>
      <c r="C21" s="145"/>
      <c r="D21" s="145"/>
      <c r="E21" s="145"/>
      <c r="F21" s="136"/>
      <c r="G21" s="146"/>
    </row>
    <row r="22" spans="1:7" s="129" customFormat="1" ht="15.75" x14ac:dyDescent="0.25">
      <c r="A22" s="130" t="s">
        <v>618</v>
      </c>
      <c r="B22" s="131">
        <v>145</v>
      </c>
      <c r="C22" s="132">
        <f>SUM(C23:C27)</f>
        <v>11.896464</v>
      </c>
      <c r="D22" s="132">
        <f>SUM(D23:D27)</f>
        <v>12.398152</v>
      </c>
      <c r="E22" s="132">
        <f>SUM(E23:E27)</f>
        <v>28.938759999999998</v>
      </c>
      <c r="F22" s="132">
        <f>SUM(F23:F27)</f>
        <v>275.84055999999998</v>
      </c>
      <c r="G22" s="133">
        <f>F22/B22*100</f>
        <v>190.23486896551722</v>
      </c>
    </row>
    <row r="23" spans="1:7" s="129" customFormat="1" ht="15.75" x14ac:dyDescent="0.25">
      <c r="A23" s="59" t="s">
        <v>619</v>
      </c>
      <c r="B23" s="151">
        <v>80</v>
      </c>
      <c r="C23" s="134">
        <v>8.819464</v>
      </c>
      <c r="D23" s="134">
        <v>6.7959519999999998</v>
      </c>
      <c r="E23" s="135">
        <v>4.7815600000000007</v>
      </c>
      <c r="F23" s="136">
        <v>116.06656000000001</v>
      </c>
      <c r="G23" s="137"/>
    </row>
    <row r="24" spans="1:7" s="129" customFormat="1" ht="15.75" x14ac:dyDescent="0.25">
      <c r="A24" s="59" t="s">
        <v>191</v>
      </c>
      <c r="B24" s="151">
        <v>40</v>
      </c>
      <c r="C24" s="138">
        <v>2.3199999999999998</v>
      </c>
      <c r="D24" s="138">
        <v>0.4</v>
      </c>
      <c r="E24" s="139">
        <v>17.399999999999999</v>
      </c>
      <c r="F24" s="136">
        <v>81.88</v>
      </c>
      <c r="G24" s="140"/>
    </row>
    <row r="25" spans="1:7" s="129" customFormat="1" ht="15.75" x14ac:dyDescent="0.25">
      <c r="A25" s="59" t="s">
        <v>620</v>
      </c>
      <c r="B25" s="151">
        <v>20</v>
      </c>
      <c r="C25" s="138">
        <v>6.7000000000000004E-2</v>
      </c>
      <c r="D25" s="138">
        <v>2.1372</v>
      </c>
      <c r="E25" s="139">
        <v>6.2471999999999994</v>
      </c>
      <c r="F25" s="136">
        <v>45.494</v>
      </c>
      <c r="G25" s="140"/>
    </row>
    <row r="26" spans="1:7" s="129" customFormat="1" ht="15.75" x14ac:dyDescent="0.25">
      <c r="A26" s="59" t="s">
        <v>594</v>
      </c>
      <c r="B26" s="151">
        <v>5</v>
      </c>
      <c r="C26" s="138">
        <v>0.69000000000000006</v>
      </c>
      <c r="D26" s="138">
        <v>3.0649999999999999</v>
      </c>
      <c r="E26" s="139">
        <v>0.51</v>
      </c>
      <c r="F26" s="136">
        <v>32.400000000000006</v>
      </c>
      <c r="G26" s="140"/>
    </row>
    <row r="27" spans="1:7" s="129" customFormat="1" ht="47.25" x14ac:dyDescent="0.25">
      <c r="A27" s="70" t="s">
        <v>621</v>
      </c>
      <c r="B27" s="151"/>
      <c r="C27" s="138"/>
      <c r="D27" s="138"/>
      <c r="E27" s="139"/>
      <c r="F27" s="136"/>
      <c r="G27" s="140"/>
    </row>
    <row r="28" spans="1:7" s="129" customFormat="1" ht="15.75" x14ac:dyDescent="0.25">
      <c r="A28" s="130" t="s">
        <v>622</v>
      </c>
      <c r="B28" s="131">
        <v>90</v>
      </c>
      <c r="C28" s="132">
        <f>SUM(C29:C30)</f>
        <v>3.64</v>
      </c>
      <c r="D28" s="132">
        <f>SUM(D29:D30)</f>
        <v>0.09</v>
      </c>
      <c r="E28" s="132">
        <f>SUM(E29:E30)</f>
        <v>12.95</v>
      </c>
      <c r="F28" s="132">
        <f>SUM(F29:F30)</f>
        <v>80.489999999999995</v>
      </c>
      <c r="G28" s="133">
        <f>F28/B28*100</f>
        <v>89.433333333333337</v>
      </c>
    </row>
    <row r="29" spans="1:7" s="129" customFormat="1" ht="15.75" x14ac:dyDescent="0.25">
      <c r="A29" s="59" t="s">
        <v>712</v>
      </c>
      <c r="B29" s="151">
        <v>90</v>
      </c>
      <c r="C29" s="138">
        <v>3.64</v>
      </c>
      <c r="D29" s="138">
        <v>0.09</v>
      </c>
      <c r="E29" s="139">
        <v>12.95</v>
      </c>
      <c r="F29" s="136">
        <v>80.489999999999995</v>
      </c>
      <c r="G29" s="140"/>
    </row>
    <row r="30" spans="1:7" s="129" customFormat="1" ht="16.899999999999999" customHeight="1" x14ac:dyDescent="0.25">
      <c r="A30" s="70" t="s">
        <v>623</v>
      </c>
      <c r="B30" s="151"/>
      <c r="C30" s="138"/>
      <c r="D30" s="138"/>
      <c r="E30" s="139"/>
      <c r="F30" s="136"/>
      <c r="G30" s="140"/>
    </row>
    <row r="31" spans="1:7" ht="21.75" customHeight="1" x14ac:dyDescent="0.3">
      <c r="A31" s="154" t="s">
        <v>242</v>
      </c>
    </row>
    <row r="32" spans="1:7" s="129" customFormat="1" ht="15.75" x14ac:dyDescent="0.25">
      <c r="A32" s="130" t="s">
        <v>624</v>
      </c>
      <c r="B32" s="131">
        <v>102</v>
      </c>
      <c r="C32" s="132">
        <f>SUM(C33:C38)</f>
        <v>11.5555</v>
      </c>
      <c r="D32" s="132">
        <f>SUM(D33:D38)</f>
        <v>8.1659999999999986</v>
      </c>
      <c r="E32" s="132">
        <f>SUM(E33:E38)</f>
        <v>3.0514999999999994</v>
      </c>
      <c r="F32" s="132">
        <f>SUM(F33:F38)</f>
        <v>133.94499999999999</v>
      </c>
      <c r="G32" s="133">
        <f>F32/B32*100</f>
        <v>131.31862745098039</v>
      </c>
    </row>
    <row r="33" spans="1:7" s="129" customFormat="1" ht="15.75" x14ac:dyDescent="0.25">
      <c r="A33" s="59" t="s">
        <v>624</v>
      </c>
      <c r="B33" s="151">
        <v>50</v>
      </c>
      <c r="C33" s="134">
        <v>1.5045000000000002</v>
      </c>
      <c r="D33" s="134">
        <v>7.6270000000000007</v>
      </c>
      <c r="E33" s="135">
        <v>1.5934999999999997</v>
      </c>
      <c r="F33" s="136">
        <v>79.894999999999982</v>
      </c>
      <c r="G33" s="137"/>
    </row>
    <row r="34" spans="1:7" s="129" customFormat="1" ht="15.75" x14ac:dyDescent="0.25">
      <c r="A34" s="59" t="s">
        <v>625</v>
      </c>
      <c r="B34" s="151">
        <v>20</v>
      </c>
      <c r="C34" s="138">
        <v>3.0249999999999999</v>
      </c>
      <c r="D34" s="138">
        <v>0.125</v>
      </c>
      <c r="E34" s="139">
        <v>0.8</v>
      </c>
      <c r="F34" s="136">
        <v>17.25</v>
      </c>
      <c r="G34" s="140"/>
    </row>
    <row r="35" spans="1:7" s="129" customFormat="1" ht="15.75" x14ac:dyDescent="0.25">
      <c r="A35" s="59" t="s">
        <v>626</v>
      </c>
      <c r="B35" s="151">
        <v>15</v>
      </c>
      <c r="C35" s="138">
        <v>3.12</v>
      </c>
      <c r="D35" s="138">
        <v>0.27999999999999997</v>
      </c>
      <c r="E35" s="139">
        <v>0.62</v>
      </c>
      <c r="F35" s="136">
        <v>18.400000000000002</v>
      </c>
      <c r="G35" s="140"/>
    </row>
    <row r="36" spans="1:7" s="129" customFormat="1" ht="15.75" x14ac:dyDescent="0.25">
      <c r="A36" s="59" t="s">
        <v>133</v>
      </c>
      <c r="B36" s="151">
        <v>15</v>
      </c>
      <c r="C36" s="138">
        <v>3.84</v>
      </c>
      <c r="D36" s="138">
        <v>0.12</v>
      </c>
      <c r="E36" s="139">
        <v>0</v>
      </c>
      <c r="F36" s="136">
        <v>17.8</v>
      </c>
      <c r="G36" s="140"/>
    </row>
    <row r="37" spans="1:7" s="129" customFormat="1" ht="15.75" x14ac:dyDescent="0.25">
      <c r="A37" s="59" t="s">
        <v>115</v>
      </c>
      <c r="B37" s="151">
        <v>2</v>
      </c>
      <c r="C37" s="138">
        <v>6.6000000000000003E-2</v>
      </c>
      <c r="D37" s="138">
        <v>1.3999999999999999E-2</v>
      </c>
      <c r="E37" s="139">
        <v>3.7999999999999999E-2</v>
      </c>
      <c r="F37" s="136">
        <v>0.6</v>
      </c>
      <c r="G37" s="140"/>
    </row>
    <row r="38" spans="1:7" s="129" customFormat="1" ht="31.5" x14ac:dyDescent="0.25">
      <c r="A38" s="70" t="s">
        <v>627</v>
      </c>
      <c r="B38" s="151"/>
      <c r="C38" s="138"/>
      <c r="D38" s="138"/>
      <c r="E38" s="139"/>
      <c r="F38" s="136"/>
      <c r="G38" s="140"/>
    </row>
    <row r="39" spans="1:7" ht="22.5" customHeight="1" x14ac:dyDescent="0.3">
      <c r="A39" s="154" t="s">
        <v>628</v>
      </c>
    </row>
    <row r="40" spans="1:7" s="129" customFormat="1" ht="15.75" x14ac:dyDescent="0.25">
      <c r="A40" s="130" t="s">
        <v>629</v>
      </c>
      <c r="B40" s="131">
        <v>253</v>
      </c>
      <c r="C40" s="132">
        <f>SUM(C41:C45)</f>
        <v>24.323219999999999</v>
      </c>
      <c r="D40" s="132">
        <f>SUM(D41:D45)</f>
        <v>14.084490000000001</v>
      </c>
      <c r="E40" s="132">
        <f>SUM(E41:E45)</f>
        <v>26.683509999999998</v>
      </c>
      <c r="F40" s="132">
        <f>SUM(F41:F45)</f>
        <v>331.25329999999997</v>
      </c>
      <c r="G40" s="133">
        <f>F40/B40*100</f>
        <v>130.93015810276677</v>
      </c>
    </row>
    <row r="41" spans="1:7" s="129" customFormat="1" ht="15.75" x14ac:dyDescent="0.25">
      <c r="A41" s="59" t="s">
        <v>630</v>
      </c>
      <c r="B41" s="151">
        <v>110</v>
      </c>
      <c r="C41" s="134">
        <v>20.68</v>
      </c>
      <c r="D41" s="134">
        <v>6.6</v>
      </c>
      <c r="E41" s="135">
        <v>7.9200000000000008</v>
      </c>
      <c r="F41" s="136">
        <v>174.45999999999998</v>
      </c>
      <c r="G41" s="137"/>
    </row>
    <row r="42" spans="1:7" s="129" customFormat="1" ht="15.75" x14ac:dyDescent="0.25">
      <c r="A42" s="59" t="s">
        <v>323</v>
      </c>
      <c r="B42" s="151">
        <v>110</v>
      </c>
      <c r="C42" s="138">
        <v>2.4760999999999997</v>
      </c>
      <c r="D42" s="138">
        <v>4.7783999999999995</v>
      </c>
      <c r="E42" s="139">
        <v>14.8027</v>
      </c>
      <c r="F42" s="136">
        <v>115.2052</v>
      </c>
      <c r="G42" s="140"/>
    </row>
    <row r="43" spans="1:7" s="129" customFormat="1" ht="15.75" x14ac:dyDescent="0.25">
      <c r="A43" s="59" t="s">
        <v>631</v>
      </c>
      <c r="B43" s="151">
        <v>30</v>
      </c>
      <c r="C43" s="138">
        <v>0.98712000000000011</v>
      </c>
      <c r="D43" s="138">
        <v>1.3260899999999998</v>
      </c>
      <c r="E43" s="139">
        <v>2.6408099999999997</v>
      </c>
      <c r="F43" s="136">
        <v>22.838100000000004</v>
      </c>
      <c r="G43" s="140"/>
    </row>
    <row r="44" spans="1:7" s="129" customFormat="1" ht="15.75" x14ac:dyDescent="0.25">
      <c r="A44" s="59" t="s">
        <v>296</v>
      </c>
      <c r="B44" s="151">
        <v>3</v>
      </c>
      <c r="C44" s="138">
        <v>0.18</v>
      </c>
      <c r="D44" s="138">
        <v>1.3800000000000001</v>
      </c>
      <c r="E44" s="139">
        <v>1.32</v>
      </c>
      <c r="F44" s="136">
        <v>18.75</v>
      </c>
      <c r="G44" s="140"/>
    </row>
    <row r="45" spans="1:7" s="129" customFormat="1" ht="63" x14ac:dyDescent="0.25">
      <c r="A45" s="70" t="s">
        <v>632</v>
      </c>
      <c r="B45" s="151"/>
      <c r="C45" s="138"/>
      <c r="D45" s="138"/>
      <c r="E45" s="139"/>
      <c r="F45" s="136"/>
      <c r="G45" s="140"/>
    </row>
    <row r="46" spans="1:7" s="129" customFormat="1" ht="15.75" x14ac:dyDescent="0.25">
      <c r="A46" s="130" t="s">
        <v>637</v>
      </c>
      <c r="B46" s="131">
        <v>260</v>
      </c>
      <c r="C46" s="132">
        <f>SUM(C47:C52)</f>
        <v>18.265549999999998</v>
      </c>
      <c r="D46" s="132">
        <f>SUM(D47:D52)</f>
        <v>4.9221999999999992</v>
      </c>
      <c r="E46" s="132">
        <f>SUM(E47:E52)</f>
        <v>34.286099999999998</v>
      </c>
      <c r="F46" s="132">
        <f>SUM(F47:F52)</f>
        <v>255.2225</v>
      </c>
      <c r="G46" s="133">
        <f>F46/B46*100</f>
        <v>98.162499999999994</v>
      </c>
    </row>
    <row r="47" spans="1:7" s="129" customFormat="1" ht="15.75" x14ac:dyDescent="0.25">
      <c r="A47" s="59" t="s">
        <v>633</v>
      </c>
      <c r="B47" s="151">
        <v>60</v>
      </c>
      <c r="C47" s="134">
        <v>11.76</v>
      </c>
      <c r="D47" s="134">
        <v>0.72</v>
      </c>
      <c r="E47" s="135">
        <v>0</v>
      </c>
      <c r="F47" s="136">
        <v>53.4</v>
      </c>
      <c r="G47" s="137"/>
    </row>
    <row r="48" spans="1:7" s="129" customFormat="1" ht="15.75" x14ac:dyDescent="0.25">
      <c r="A48" s="59" t="s">
        <v>634</v>
      </c>
      <c r="B48" s="151">
        <v>50</v>
      </c>
      <c r="C48" s="138">
        <v>1.4455499999999999</v>
      </c>
      <c r="D48" s="138">
        <v>1.8521999999999996</v>
      </c>
      <c r="E48" s="139">
        <v>8.2461000000000002</v>
      </c>
      <c r="F48" s="136">
        <v>54.832499999999996</v>
      </c>
      <c r="G48" s="140"/>
    </row>
    <row r="49" spans="1:7" s="129" customFormat="1" ht="15.75" x14ac:dyDescent="0.25">
      <c r="A49" s="59" t="s">
        <v>635</v>
      </c>
      <c r="B49" s="151">
        <v>50</v>
      </c>
      <c r="C49" s="138">
        <v>1.35</v>
      </c>
      <c r="D49" s="138">
        <v>0.15</v>
      </c>
      <c r="E49" s="139">
        <v>2.35</v>
      </c>
      <c r="F49" s="136">
        <v>14.150000000000002</v>
      </c>
      <c r="G49" s="140"/>
    </row>
    <row r="50" spans="1:7" s="129" customFormat="1" ht="15.75" x14ac:dyDescent="0.25">
      <c r="A50" s="59" t="s">
        <v>636</v>
      </c>
      <c r="B50" s="151">
        <v>50</v>
      </c>
      <c r="C50" s="138">
        <v>2.7</v>
      </c>
      <c r="D50" s="138">
        <v>2.1</v>
      </c>
      <c r="E50" s="139">
        <v>5.01</v>
      </c>
      <c r="F50" s="136">
        <v>50.34</v>
      </c>
      <c r="G50" s="140"/>
    </row>
    <row r="51" spans="1:7" s="129" customFormat="1" ht="15.75" x14ac:dyDescent="0.25">
      <c r="A51" s="59" t="s">
        <v>110</v>
      </c>
      <c r="B51" s="151">
        <v>20</v>
      </c>
      <c r="C51" s="138">
        <v>0.02</v>
      </c>
      <c r="D51" s="138">
        <v>0.04</v>
      </c>
      <c r="E51" s="139">
        <v>8</v>
      </c>
      <c r="F51" s="136">
        <v>35.4</v>
      </c>
      <c r="G51" s="140"/>
    </row>
    <row r="52" spans="1:7" s="129" customFormat="1" ht="15.75" x14ac:dyDescent="0.25">
      <c r="A52" s="59" t="s">
        <v>463</v>
      </c>
      <c r="B52" s="153">
        <v>30</v>
      </c>
      <c r="C52" s="138">
        <v>0.99</v>
      </c>
      <c r="D52" s="138">
        <v>0.06</v>
      </c>
      <c r="E52" s="139">
        <v>10.68</v>
      </c>
      <c r="F52" s="136">
        <v>47.1</v>
      </c>
      <c r="G52" s="140"/>
    </row>
    <row r="53" spans="1:7" s="129" customFormat="1" ht="31.5" x14ac:dyDescent="0.25">
      <c r="A53" s="70" t="s">
        <v>710</v>
      </c>
      <c r="B53" s="144"/>
      <c r="C53" s="145"/>
      <c r="D53" s="145"/>
      <c r="E53" s="145"/>
      <c r="F53" s="136"/>
      <c r="G53" s="146"/>
    </row>
    <row r="54" spans="1:7" s="129" customFormat="1" ht="15.75" x14ac:dyDescent="0.25">
      <c r="A54" s="130" t="s">
        <v>644</v>
      </c>
      <c r="B54" s="131">
        <v>284</v>
      </c>
      <c r="C54" s="132">
        <f>SUM(C55:C64)</f>
        <v>20.110519999999998</v>
      </c>
      <c r="D54" s="132">
        <f>SUM(D55:D64)</f>
        <v>21.406040000000001</v>
      </c>
      <c r="E54" s="132">
        <f>SUM(E55:E64)</f>
        <v>42.867960000000004</v>
      </c>
      <c r="F54" s="132">
        <f>SUM(F55:F64)</f>
        <v>444.29880000000003</v>
      </c>
      <c r="G54" s="133">
        <f>F54/B54*100</f>
        <v>156.44323943661973</v>
      </c>
    </row>
    <row r="55" spans="1:7" s="129" customFormat="1" ht="15.75" x14ac:dyDescent="0.25">
      <c r="A55" s="59" t="s">
        <v>638</v>
      </c>
      <c r="B55" s="151">
        <v>140</v>
      </c>
      <c r="C55" s="134">
        <v>6.8880000000000008</v>
      </c>
      <c r="D55" s="134">
        <v>0.72799999999999998</v>
      </c>
      <c r="E55" s="135">
        <v>36.064</v>
      </c>
      <c r="F55" s="136">
        <v>191.52</v>
      </c>
      <c r="G55" s="137"/>
    </row>
    <row r="56" spans="1:7" s="129" customFormat="1" ht="15.75" x14ac:dyDescent="0.25">
      <c r="A56" s="59" t="s">
        <v>639</v>
      </c>
      <c r="B56" s="151">
        <v>40</v>
      </c>
      <c r="C56" s="138">
        <v>2.2115200000000002</v>
      </c>
      <c r="D56" s="138">
        <v>2.7170399999999995</v>
      </c>
      <c r="E56" s="139">
        <v>2.62296</v>
      </c>
      <c r="F56" s="136">
        <v>33.848799999999997</v>
      </c>
      <c r="G56" s="140"/>
    </row>
    <row r="57" spans="1:7" s="129" customFormat="1" ht="15.75" x14ac:dyDescent="0.25">
      <c r="A57" s="59" t="s">
        <v>640</v>
      </c>
      <c r="B57" s="151">
        <v>40</v>
      </c>
      <c r="C57" s="138">
        <v>7.3599999999999994</v>
      </c>
      <c r="D57" s="138">
        <v>8.24</v>
      </c>
      <c r="E57" s="139">
        <v>0</v>
      </c>
      <c r="F57" s="136">
        <v>98.12</v>
      </c>
      <c r="G57" s="140"/>
    </row>
    <row r="58" spans="1:7" s="129" customFormat="1" ht="15.75" x14ac:dyDescent="0.25">
      <c r="A58" s="59" t="s">
        <v>10</v>
      </c>
      <c r="B58" s="151">
        <v>25</v>
      </c>
      <c r="C58" s="138">
        <v>0.57499999999999996</v>
      </c>
      <c r="D58" s="138">
        <v>5.5</v>
      </c>
      <c r="E58" s="139">
        <v>0.95</v>
      </c>
      <c r="F58" s="136">
        <v>55.500000000000007</v>
      </c>
      <c r="G58" s="140"/>
    </row>
    <row r="59" spans="1:7" s="129" customFormat="1" ht="15.75" x14ac:dyDescent="0.25">
      <c r="A59" s="59" t="s">
        <v>641</v>
      </c>
      <c r="B59" s="151">
        <v>20</v>
      </c>
      <c r="C59" s="138">
        <v>0.2</v>
      </c>
      <c r="D59" s="138">
        <v>0.08</v>
      </c>
      <c r="E59" s="139">
        <v>1.46</v>
      </c>
      <c r="F59" s="136">
        <v>8.8000000000000007</v>
      </c>
      <c r="G59" s="140"/>
    </row>
    <row r="60" spans="1:7" s="129" customFormat="1" ht="15.75" x14ac:dyDescent="0.25">
      <c r="A60" s="59" t="s">
        <v>293</v>
      </c>
      <c r="B60" s="151">
        <v>7</v>
      </c>
      <c r="C60" s="138">
        <v>9.1000000000000011E-2</v>
      </c>
      <c r="D60" s="138">
        <v>7.0000000000000001E-3</v>
      </c>
      <c r="E60" s="139">
        <v>0.371</v>
      </c>
      <c r="F60" s="136">
        <v>1.82</v>
      </c>
      <c r="G60" s="140"/>
    </row>
    <row r="61" spans="1:7" s="129" customFormat="1" ht="15.75" x14ac:dyDescent="0.25">
      <c r="A61" s="59" t="s">
        <v>642</v>
      </c>
      <c r="B61" s="151">
        <v>5</v>
      </c>
      <c r="C61" s="138">
        <v>0.77500000000000002</v>
      </c>
      <c r="D61" s="138">
        <v>2.8000000000000003</v>
      </c>
      <c r="E61" s="139">
        <v>1.4000000000000001</v>
      </c>
      <c r="F61" s="136">
        <v>34.4</v>
      </c>
      <c r="G61" s="140"/>
    </row>
    <row r="62" spans="1:7" s="129" customFormat="1" ht="15.75" x14ac:dyDescent="0.25">
      <c r="A62" s="59" t="s">
        <v>64</v>
      </c>
      <c r="B62" s="151">
        <v>5</v>
      </c>
      <c r="C62" s="138">
        <v>1.6500000000000001</v>
      </c>
      <c r="D62" s="138">
        <v>1.25</v>
      </c>
      <c r="E62" s="139">
        <v>0</v>
      </c>
      <c r="F62" s="136">
        <v>17.849999999999998</v>
      </c>
      <c r="G62" s="140"/>
    </row>
    <row r="63" spans="1:7" s="129" customFormat="1" ht="15.75" x14ac:dyDescent="0.25">
      <c r="A63" s="59" t="s">
        <v>605</v>
      </c>
      <c r="B63" s="151">
        <v>2</v>
      </c>
      <c r="C63" s="138">
        <v>0.36</v>
      </c>
      <c r="D63" s="138">
        <v>8.4000000000000005E-2</v>
      </c>
      <c r="E63" s="139">
        <v>0</v>
      </c>
      <c r="F63" s="136">
        <v>2.44</v>
      </c>
      <c r="G63" s="140"/>
    </row>
    <row r="64" spans="1:7" s="129" customFormat="1" ht="47.25" x14ac:dyDescent="0.25">
      <c r="A64" s="70" t="s">
        <v>643</v>
      </c>
      <c r="B64" s="151"/>
      <c r="C64" s="138"/>
      <c r="D64" s="138"/>
      <c r="E64" s="139"/>
      <c r="F64" s="136"/>
      <c r="G64" s="140"/>
    </row>
    <row r="65" spans="1:7" ht="21.75" customHeight="1" x14ac:dyDescent="0.3">
      <c r="A65" s="154" t="s">
        <v>645</v>
      </c>
    </row>
    <row r="66" spans="1:7" s="129" customFormat="1" ht="15.75" x14ac:dyDescent="0.25">
      <c r="A66" s="130" t="s">
        <v>646</v>
      </c>
      <c r="B66" s="131">
        <v>194</v>
      </c>
      <c r="C66" s="132">
        <f>SUM(C67:C74)</f>
        <v>22.72476</v>
      </c>
      <c r="D66" s="132">
        <f>SUM(D67:D74)</f>
        <v>26.153119999999994</v>
      </c>
      <c r="E66" s="132">
        <f>SUM(E67:E74)</f>
        <v>26.905480000000001</v>
      </c>
      <c r="F66" s="132">
        <f>SUM(F67:F74)</f>
        <v>429.28840000000002</v>
      </c>
      <c r="G66" s="133">
        <f>F66/B66*100</f>
        <v>221.28268041237112</v>
      </c>
    </row>
    <row r="67" spans="1:7" s="129" customFormat="1" ht="15.75" x14ac:dyDescent="0.25">
      <c r="A67" s="59" t="s">
        <v>647</v>
      </c>
      <c r="B67" s="151">
        <v>70</v>
      </c>
      <c r="C67" s="134">
        <v>4.0040000000000004</v>
      </c>
      <c r="D67" s="134">
        <v>1.8606000000000003</v>
      </c>
      <c r="E67" s="135">
        <v>23.1</v>
      </c>
      <c r="F67" s="136">
        <v>123.46600000000001</v>
      </c>
      <c r="G67" s="137"/>
    </row>
    <row r="68" spans="1:7" s="129" customFormat="1" ht="15.75" x14ac:dyDescent="0.25">
      <c r="A68" s="59" t="s">
        <v>10</v>
      </c>
      <c r="B68" s="151">
        <v>50</v>
      </c>
      <c r="C68" s="138">
        <v>1.1499999999999999</v>
      </c>
      <c r="D68" s="138">
        <v>11</v>
      </c>
      <c r="E68" s="139">
        <v>1.9</v>
      </c>
      <c r="F68" s="136">
        <v>111.00000000000001</v>
      </c>
      <c r="G68" s="140"/>
    </row>
    <row r="69" spans="1:7" s="129" customFormat="1" ht="15.75" x14ac:dyDescent="0.25">
      <c r="A69" s="59" t="s">
        <v>648</v>
      </c>
      <c r="B69" s="151">
        <v>30</v>
      </c>
      <c r="C69" s="138">
        <v>9.3629999999999995</v>
      </c>
      <c r="D69" s="138">
        <v>5.0820000000000007</v>
      </c>
      <c r="E69" s="139">
        <v>0.186</v>
      </c>
      <c r="F69" s="136">
        <v>86.177999999999997</v>
      </c>
      <c r="G69" s="140"/>
    </row>
    <row r="70" spans="1:7" s="129" customFormat="1" ht="15.75" x14ac:dyDescent="0.25">
      <c r="A70" s="59" t="s">
        <v>649</v>
      </c>
      <c r="B70" s="151">
        <v>20</v>
      </c>
      <c r="C70" s="138">
        <v>1.1057600000000001</v>
      </c>
      <c r="D70" s="138">
        <v>1.3585199999999997</v>
      </c>
      <c r="E70" s="139">
        <v>1.31148</v>
      </c>
      <c r="F70" s="136">
        <v>16.924399999999999</v>
      </c>
      <c r="G70" s="140"/>
    </row>
    <row r="71" spans="1:7" s="129" customFormat="1" ht="15.75" x14ac:dyDescent="0.25">
      <c r="A71" s="59" t="s">
        <v>64</v>
      </c>
      <c r="B71" s="151">
        <v>15</v>
      </c>
      <c r="C71" s="138">
        <v>4.95</v>
      </c>
      <c r="D71" s="138">
        <v>3.75</v>
      </c>
      <c r="E71" s="139">
        <v>0</v>
      </c>
      <c r="F71" s="136">
        <v>53.55</v>
      </c>
      <c r="G71" s="140"/>
    </row>
    <row r="72" spans="1:7" s="129" customFormat="1" ht="15.75" x14ac:dyDescent="0.25">
      <c r="A72" s="59" t="s">
        <v>453</v>
      </c>
      <c r="B72" s="151">
        <v>5</v>
      </c>
      <c r="C72" s="138">
        <v>1.6</v>
      </c>
      <c r="D72" s="138">
        <v>0.65</v>
      </c>
      <c r="E72" s="139">
        <v>0</v>
      </c>
      <c r="F72" s="136">
        <v>12.25</v>
      </c>
      <c r="G72" s="140"/>
    </row>
    <row r="73" spans="1:7" s="129" customFormat="1" ht="15.75" x14ac:dyDescent="0.25">
      <c r="A73" s="59" t="s">
        <v>594</v>
      </c>
      <c r="B73" s="151">
        <v>4</v>
      </c>
      <c r="C73" s="138">
        <v>0.55200000000000005</v>
      </c>
      <c r="D73" s="138">
        <v>2.452</v>
      </c>
      <c r="E73" s="139">
        <v>0.40799999999999997</v>
      </c>
      <c r="F73" s="136">
        <v>25.92</v>
      </c>
      <c r="G73" s="140"/>
    </row>
    <row r="74" spans="1:7" s="129" customFormat="1" ht="56.45" customHeight="1" x14ac:dyDescent="0.25">
      <c r="A74" s="70" t="s">
        <v>650</v>
      </c>
      <c r="B74" s="151"/>
      <c r="C74" s="138"/>
      <c r="D74" s="138"/>
      <c r="E74" s="139"/>
      <c r="F74" s="136"/>
      <c r="G74" s="140"/>
    </row>
    <row r="75" spans="1:7" ht="19.5" customHeight="1" x14ac:dyDescent="0.3">
      <c r="A75" s="154" t="s">
        <v>651</v>
      </c>
    </row>
    <row r="76" spans="1:7" s="129" customFormat="1" ht="15.75" x14ac:dyDescent="0.25">
      <c r="A76" s="130" t="s">
        <v>652</v>
      </c>
      <c r="B76" s="131">
        <v>283</v>
      </c>
      <c r="C76" s="132">
        <f>SUM(C77:C85)</f>
        <v>10.612884999999999</v>
      </c>
      <c r="D76" s="132">
        <f>SUM(D77:D85)</f>
        <v>7.4425400000000002</v>
      </c>
      <c r="E76" s="132">
        <f>SUM(E77:E85)</f>
        <v>55.252269999999996</v>
      </c>
      <c r="F76" s="132">
        <f>SUM(F77:F85)</f>
        <v>370.92275000000001</v>
      </c>
      <c r="G76" s="133">
        <f>F76/B76*100</f>
        <v>131.06810954063604</v>
      </c>
    </row>
    <row r="77" spans="1:7" s="129" customFormat="1" ht="15.75" x14ac:dyDescent="0.25">
      <c r="A77" s="59" t="s">
        <v>653</v>
      </c>
      <c r="B77" s="151">
        <v>100</v>
      </c>
      <c r="C77" s="134">
        <v>3</v>
      </c>
      <c r="D77" s="134">
        <v>0</v>
      </c>
      <c r="E77" s="135">
        <v>35</v>
      </c>
      <c r="F77" s="136">
        <v>159</v>
      </c>
      <c r="G77" s="137"/>
    </row>
    <row r="78" spans="1:7" s="129" customFormat="1" ht="15.75" x14ac:dyDescent="0.25">
      <c r="A78" s="59" t="s">
        <v>355</v>
      </c>
      <c r="B78" s="171">
        <v>50</v>
      </c>
      <c r="C78" s="134">
        <v>0.72</v>
      </c>
      <c r="D78" s="134">
        <v>0</v>
      </c>
      <c r="E78" s="135">
        <v>8.25</v>
      </c>
      <c r="F78" s="136">
        <v>77.97</v>
      </c>
      <c r="G78" s="137"/>
    </row>
    <row r="79" spans="1:7" s="129" customFormat="1" ht="15.75" x14ac:dyDescent="0.25">
      <c r="A79" s="59" t="s">
        <v>634</v>
      </c>
      <c r="B79" s="151">
        <v>35</v>
      </c>
      <c r="C79" s="138">
        <v>1.0118849999999999</v>
      </c>
      <c r="D79" s="138">
        <v>1.2965399999999998</v>
      </c>
      <c r="E79" s="139">
        <v>5.7722700000000007</v>
      </c>
      <c r="F79" s="136">
        <v>38.382749999999994</v>
      </c>
      <c r="G79" s="140"/>
    </row>
    <row r="80" spans="1:7" s="129" customFormat="1" ht="15.75" x14ac:dyDescent="0.25">
      <c r="A80" s="59" t="s">
        <v>475</v>
      </c>
      <c r="B80" s="171">
        <v>30</v>
      </c>
      <c r="C80" s="138">
        <v>0.2</v>
      </c>
      <c r="D80" s="138">
        <v>0</v>
      </c>
      <c r="E80" s="139">
        <v>1.8</v>
      </c>
      <c r="F80" s="136">
        <v>8.1999999999999993</v>
      </c>
      <c r="G80" s="140"/>
    </row>
    <row r="81" spans="1:7" s="129" customFormat="1" ht="15.75" x14ac:dyDescent="0.25">
      <c r="A81" s="59" t="s">
        <v>136</v>
      </c>
      <c r="B81" s="151">
        <v>30</v>
      </c>
      <c r="C81" s="138">
        <v>3.9000000000000004</v>
      </c>
      <c r="D81" s="138">
        <v>0.92999999999999994</v>
      </c>
      <c r="E81" s="139">
        <v>3</v>
      </c>
      <c r="F81" s="136">
        <v>27.63</v>
      </c>
      <c r="G81" s="140"/>
    </row>
    <row r="82" spans="1:7" s="129" customFormat="1" ht="15.75" x14ac:dyDescent="0.25">
      <c r="A82" s="59" t="s">
        <v>193</v>
      </c>
      <c r="B82" s="151">
        <v>20</v>
      </c>
      <c r="C82" s="138">
        <v>1.2</v>
      </c>
      <c r="D82" s="138">
        <v>5.2</v>
      </c>
      <c r="E82" s="139">
        <v>0.6</v>
      </c>
      <c r="F82" s="136">
        <v>54</v>
      </c>
      <c r="G82" s="140"/>
    </row>
    <row r="83" spans="1:7" s="129" customFormat="1" ht="15.75" x14ac:dyDescent="0.25">
      <c r="A83" s="59" t="s">
        <v>153</v>
      </c>
      <c r="B83" s="151">
        <v>15</v>
      </c>
      <c r="C83" s="138">
        <v>0.12</v>
      </c>
      <c r="D83" s="138">
        <v>1.4999999999999999E-2</v>
      </c>
      <c r="E83" s="139">
        <v>0.41999999999999993</v>
      </c>
      <c r="F83" s="136">
        <v>2.25</v>
      </c>
      <c r="G83" s="140"/>
    </row>
    <row r="84" spans="1:7" s="129" customFormat="1" ht="15.75" x14ac:dyDescent="0.25">
      <c r="A84" s="59" t="s">
        <v>659</v>
      </c>
      <c r="B84" s="171">
        <v>2</v>
      </c>
      <c r="C84" s="138">
        <v>0</v>
      </c>
      <c r="D84" s="138">
        <v>0</v>
      </c>
      <c r="E84" s="139">
        <v>0</v>
      </c>
      <c r="F84" s="136">
        <v>0</v>
      </c>
      <c r="G84" s="140"/>
    </row>
    <row r="85" spans="1:7" s="129" customFormat="1" ht="15.75" x14ac:dyDescent="0.25">
      <c r="A85" s="59" t="s">
        <v>432</v>
      </c>
      <c r="B85" s="151">
        <v>1</v>
      </c>
      <c r="C85" s="138">
        <v>0.46100000000000002</v>
      </c>
      <c r="D85" s="138">
        <v>1E-3</v>
      </c>
      <c r="E85" s="139">
        <v>0.41</v>
      </c>
      <c r="F85" s="136">
        <v>3.49</v>
      </c>
      <c r="G85" s="140"/>
    </row>
    <row r="86" spans="1:7" s="129" customFormat="1" ht="31.5" x14ac:dyDescent="0.25">
      <c r="A86" s="70" t="s">
        <v>654</v>
      </c>
      <c r="B86" s="144"/>
      <c r="C86" s="145"/>
      <c r="D86" s="145"/>
      <c r="E86" s="145"/>
      <c r="F86" s="136"/>
      <c r="G86" s="146"/>
    </row>
    <row r="87" spans="1:7" s="129" customFormat="1" ht="15.75" x14ac:dyDescent="0.25">
      <c r="A87" s="130" t="s">
        <v>655</v>
      </c>
      <c r="B87" s="131">
        <v>288</v>
      </c>
      <c r="C87" s="132">
        <f>SUM(C88:C100)</f>
        <v>15.062999999999999</v>
      </c>
      <c r="D87" s="132">
        <f>SUM(D88:D100)</f>
        <v>22.388000000000002</v>
      </c>
      <c r="E87" s="132">
        <f>SUM(E88:E100)</f>
        <v>55.765999999999991</v>
      </c>
      <c r="F87" s="132">
        <f>SUM(F88:F100)</f>
        <v>533.32699999999988</v>
      </c>
      <c r="G87" s="133">
        <f>F87/B87*100</f>
        <v>185.18298611111109</v>
      </c>
    </row>
    <row r="88" spans="1:7" s="129" customFormat="1" ht="15.75" x14ac:dyDescent="0.25">
      <c r="A88" s="59" t="s">
        <v>656</v>
      </c>
      <c r="B88" s="151">
        <v>100</v>
      </c>
      <c r="C88" s="134">
        <v>3</v>
      </c>
      <c r="D88" s="134">
        <v>0</v>
      </c>
      <c r="E88" s="135">
        <v>35</v>
      </c>
      <c r="F88" s="136">
        <v>159</v>
      </c>
      <c r="G88" s="137"/>
    </row>
    <row r="89" spans="1:7" s="129" customFormat="1" ht="15.75" x14ac:dyDescent="0.25">
      <c r="A89" s="59" t="s">
        <v>355</v>
      </c>
      <c r="B89" s="151">
        <v>50</v>
      </c>
      <c r="C89" s="138">
        <v>0.72</v>
      </c>
      <c r="D89" s="138">
        <v>0</v>
      </c>
      <c r="E89" s="139">
        <v>8.2449999999999992</v>
      </c>
      <c r="F89" s="136">
        <v>77.97</v>
      </c>
      <c r="G89" s="140"/>
    </row>
    <row r="90" spans="1:7" s="129" customFormat="1" ht="15.75" x14ac:dyDescent="0.25">
      <c r="A90" s="59" t="s">
        <v>615</v>
      </c>
      <c r="B90" s="151">
        <v>30</v>
      </c>
      <c r="C90" s="138">
        <v>5.8199999999999994</v>
      </c>
      <c r="D90" s="138">
        <v>3.492</v>
      </c>
      <c r="E90" s="139">
        <v>0.38100000000000001</v>
      </c>
      <c r="F90" s="136">
        <v>53.141999999999996</v>
      </c>
      <c r="G90" s="140"/>
    </row>
    <row r="91" spans="1:7" s="129" customFormat="1" ht="15.75" x14ac:dyDescent="0.25">
      <c r="A91" s="59" t="s">
        <v>475</v>
      </c>
      <c r="B91" s="151">
        <v>20</v>
      </c>
      <c r="C91" s="138">
        <v>0.2</v>
      </c>
      <c r="D91" s="138">
        <v>0</v>
      </c>
      <c r="E91" s="139">
        <v>1.7999999999999998</v>
      </c>
      <c r="F91" s="136">
        <v>8.1999999999999993</v>
      </c>
      <c r="G91" s="140"/>
    </row>
    <row r="92" spans="1:7" s="129" customFormat="1" ht="15.75" x14ac:dyDescent="0.25">
      <c r="A92" s="59" t="s">
        <v>205</v>
      </c>
      <c r="B92" s="151">
        <v>20</v>
      </c>
      <c r="C92" s="138">
        <v>0.45999999999999996</v>
      </c>
      <c r="D92" s="138">
        <v>8.0599999999999987</v>
      </c>
      <c r="E92" s="139">
        <v>2.94</v>
      </c>
      <c r="F92" s="136">
        <v>89.2</v>
      </c>
      <c r="G92" s="140"/>
    </row>
    <row r="93" spans="1:7" s="129" customFormat="1" ht="15.75" x14ac:dyDescent="0.25">
      <c r="A93" s="59" t="s">
        <v>193</v>
      </c>
      <c r="B93" s="151">
        <v>20</v>
      </c>
      <c r="C93" s="138">
        <v>1.2</v>
      </c>
      <c r="D93" s="138">
        <v>5.2</v>
      </c>
      <c r="E93" s="139">
        <v>0.6</v>
      </c>
      <c r="F93" s="136">
        <v>54</v>
      </c>
      <c r="G93" s="140"/>
    </row>
    <row r="94" spans="1:7" s="129" customFormat="1" ht="15.75" x14ac:dyDescent="0.25">
      <c r="A94" s="59" t="s">
        <v>657</v>
      </c>
      <c r="B94" s="151">
        <v>15</v>
      </c>
      <c r="C94" s="138">
        <v>0.12</v>
      </c>
      <c r="D94" s="138">
        <v>1.4999999999999999E-2</v>
      </c>
      <c r="E94" s="139">
        <v>0.41999999999999993</v>
      </c>
      <c r="F94" s="136">
        <v>2.25</v>
      </c>
      <c r="G94" s="140"/>
    </row>
    <row r="95" spans="1:7" s="129" customFormat="1" ht="15.75" x14ac:dyDescent="0.25">
      <c r="A95" s="59" t="s">
        <v>658</v>
      </c>
      <c r="B95" s="151">
        <v>10</v>
      </c>
      <c r="C95" s="138">
        <v>0.24</v>
      </c>
      <c r="D95" s="138">
        <v>0.03</v>
      </c>
      <c r="E95" s="139">
        <v>1.1800000000000002</v>
      </c>
      <c r="F95" s="136">
        <v>5.45</v>
      </c>
      <c r="G95" s="140"/>
    </row>
    <row r="96" spans="1:7" s="129" customFormat="1" ht="15.75" x14ac:dyDescent="0.25">
      <c r="A96" s="59" t="s">
        <v>463</v>
      </c>
      <c r="B96" s="151">
        <v>10</v>
      </c>
      <c r="C96" s="138">
        <v>0.33</v>
      </c>
      <c r="D96" s="138">
        <v>0.02</v>
      </c>
      <c r="E96" s="139">
        <v>3.5600000000000005</v>
      </c>
      <c r="F96" s="136">
        <v>15.700000000000001</v>
      </c>
      <c r="G96" s="140"/>
    </row>
    <row r="97" spans="1:7" s="129" customFormat="1" ht="15.75" x14ac:dyDescent="0.25">
      <c r="A97" s="59" t="s">
        <v>251</v>
      </c>
      <c r="B97" s="151">
        <v>10</v>
      </c>
      <c r="C97" s="138">
        <v>2.5120000000000005</v>
      </c>
      <c r="D97" s="138">
        <v>5.57</v>
      </c>
      <c r="E97" s="139">
        <v>1.2300000000000002</v>
      </c>
      <c r="F97" s="136">
        <v>64.924999999999997</v>
      </c>
      <c r="G97" s="140"/>
    </row>
    <row r="98" spans="1:7" s="129" customFormat="1" ht="15.75" x14ac:dyDescent="0.25">
      <c r="A98" s="59" t="s">
        <v>432</v>
      </c>
      <c r="B98" s="151">
        <v>1</v>
      </c>
      <c r="C98" s="138">
        <v>0.46100000000000002</v>
      </c>
      <c r="D98" s="138">
        <v>1E-3</v>
      </c>
      <c r="E98" s="139">
        <v>0.41</v>
      </c>
      <c r="F98" s="136">
        <v>3.49</v>
      </c>
      <c r="G98" s="140"/>
    </row>
    <row r="99" spans="1:7" s="129" customFormat="1" ht="15.75" x14ac:dyDescent="0.25">
      <c r="A99" s="59" t="s">
        <v>659</v>
      </c>
      <c r="B99" s="151">
        <v>2</v>
      </c>
      <c r="C99" s="138">
        <v>0</v>
      </c>
      <c r="D99" s="138">
        <v>0</v>
      </c>
      <c r="E99" s="139">
        <v>0</v>
      </c>
      <c r="F99" s="136">
        <v>0</v>
      </c>
      <c r="G99" s="140"/>
    </row>
    <row r="100" spans="1:7" s="129" customFormat="1" ht="15.75" x14ac:dyDescent="0.25">
      <c r="A100" s="70" t="s">
        <v>660</v>
      </c>
      <c r="B100" s="151"/>
      <c r="C100" s="138"/>
      <c r="D100" s="138"/>
      <c r="E100" s="139"/>
      <c r="F100" s="136"/>
      <c r="G100" s="140"/>
    </row>
    <row r="101" spans="1:7" s="129" customFormat="1" ht="15.75" x14ac:dyDescent="0.25">
      <c r="A101" s="130" t="s">
        <v>661</v>
      </c>
      <c r="B101" s="131">
        <v>289</v>
      </c>
      <c r="C101" s="132">
        <f>SUM(C102:C115)</f>
        <v>9.063369999999999</v>
      </c>
      <c r="D101" s="132">
        <f>SUM(D102:D115)</f>
        <v>25.296899999999997</v>
      </c>
      <c r="E101" s="132">
        <f>SUM(E102:E115)</f>
        <v>54.888559999999998</v>
      </c>
      <c r="F101" s="132">
        <f>SUM(F102:F115)</f>
        <v>528.29154999999992</v>
      </c>
      <c r="G101" s="133">
        <f>F101/B101*100</f>
        <v>182.7998442906574</v>
      </c>
    </row>
    <row r="102" spans="1:7" s="129" customFormat="1" ht="15.75" x14ac:dyDescent="0.25">
      <c r="A102" s="59" t="s">
        <v>588</v>
      </c>
      <c r="B102" s="151">
        <v>100</v>
      </c>
      <c r="C102" s="134">
        <v>3</v>
      </c>
      <c r="D102" s="134">
        <v>0</v>
      </c>
      <c r="E102" s="135">
        <v>35</v>
      </c>
      <c r="F102" s="136">
        <v>159</v>
      </c>
      <c r="G102" s="137"/>
    </row>
    <row r="103" spans="1:7" s="129" customFormat="1" ht="15.75" x14ac:dyDescent="0.25">
      <c r="A103" s="59" t="s">
        <v>355</v>
      </c>
      <c r="B103" s="151">
        <v>50</v>
      </c>
      <c r="C103" s="138">
        <v>0.72</v>
      </c>
      <c r="D103" s="138">
        <v>0</v>
      </c>
      <c r="E103" s="139">
        <v>8.2449999999999992</v>
      </c>
      <c r="F103" s="136">
        <v>77.97</v>
      </c>
      <c r="G103" s="140"/>
    </row>
    <row r="104" spans="1:7" s="129" customFormat="1" ht="15.75" x14ac:dyDescent="0.25">
      <c r="A104" s="59" t="s">
        <v>317</v>
      </c>
      <c r="B104" s="151">
        <v>40</v>
      </c>
      <c r="C104" s="138">
        <v>2.8239999999999998</v>
      </c>
      <c r="D104" s="138">
        <v>20.191999999999997</v>
      </c>
      <c r="E104" s="139">
        <v>1.3039999999999998</v>
      </c>
      <c r="F104" s="136">
        <v>198.124</v>
      </c>
      <c r="G104" s="140"/>
    </row>
    <row r="105" spans="1:7" s="129" customFormat="1" ht="15.75" x14ac:dyDescent="0.25">
      <c r="A105" s="59" t="s">
        <v>475</v>
      </c>
      <c r="B105" s="151">
        <v>20</v>
      </c>
      <c r="C105" s="138">
        <v>0.2</v>
      </c>
      <c r="D105" s="138">
        <v>0</v>
      </c>
      <c r="E105" s="139">
        <v>1.7999999999999998</v>
      </c>
      <c r="F105" s="136">
        <v>8.1999999999999993</v>
      </c>
      <c r="G105" s="140"/>
    </row>
    <row r="106" spans="1:7" s="129" customFormat="1" ht="15.75" x14ac:dyDescent="0.25">
      <c r="A106" s="59" t="s">
        <v>176</v>
      </c>
      <c r="B106" s="151">
        <v>15</v>
      </c>
      <c r="C106" s="138">
        <v>0.09</v>
      </c>
      <c r="D106" s="138">
        <v>0</v>
      </c>
      <c r="E106" s="139">
        <v>0.56999999999999995</v>
      </c>
      <c r="F106" s="136">
        <v>2.1</v>
      </c>
      <c r="G106" s="140"/>
    </row>
    <row r="107" spans="1:7" s="129" customFormat="1" ht="15.75" x14ac:dyDescent="0.25">
      <c r="A107" s="59" t="s">
        <v>153</v>
      </c>
      <c r="B107" s="151">
        <v>15</v>
      </c>
      <c r="C107" s="138">
        <v>0.12</v>
      </c>
      <c r="D107" s="138">
        <v>1.4999999999999999E-2</v>
      </c>
      <c r="E107" s="139">
        <v>0.41999999999999993</v>
      </c>
      <c r="F107" s="136">
        <v>2.25</v>
      </c>
      <c r="G107" s="140"/>
    </row>
    <row r="108" spans="1:7" s="129" customFormat="1" ht="15.75" x14ac:dyDescent="0.25">
      <c r="A108" s="59" t="s">
        <v>380</v>
      </c>
      <c r="B108" s="151">
        <v>15</v>
      </c>
      <c r="C108" s="138">
        <v>0.3</v>
      </c>
      <c r="D108" s="138">
        <v>2.25</v>
      </c>
      <c r="E108" s="139">
        <v>1.2</v>
      </c>
      <c r="F108" s="136">
        <v>24</v>
      </c>
      <c r="G108" s="140"/>
    </row>
    <row r="109" spans="1:7" s="129" customFormat="1" ht="15.75" x14ac:dyDescent="0.25">
      <c r="A109" s="59" t="s">
        <v>662</v>
      </c>
      <c r="B109" s="151">
        <v>10</v>
      </c>
      <c r="C109" s="138">
        <v>0.24</v>
      </c>
      <c r="D109" s="138">
        <v>0.03</v>
      </c>
      <c r="E109" s="139">
        <v>1.1800000000000002</v>
      </c>
      <c r="F109" s="136">
        <v>5.45</v>
      </c>
      <c r="G109" s="140"/>
    </row>
    <row r="110" spans="1:7" s="129" customFormat="1" ht="15.75" x14ac:dyDescent="0.25">
      <c r="A110" s="59" t="s">
        <v>463</v>
      </c>
      <c r="B110" s="151">
        <v>10</v>
      </c>
      <c r="C110" s="134">
        <v>0.33</v>
      </c>
      <c r="D110" s="134">
        <v>0.02</v>
      </c>
      <c r="E110" s="135">
        <v>3.5600000000000005</v>
      </c>
      <c r="F110" s="136">
        <v>15.700000000000001</v>
      </c>
      <c r="G110" s="137"/>
    </row>
    <row r="111" spans="1:7" s="129" customFormat="1" ht="15.75" x14ac:dyDescent="0.25">
      <c r="A111" s="59" t="s">
        <v>663</v>
      </c>
      <c r="B111" s="151">
        <v>10</v>
      </c>
      <c r="C111" s="138">
        <v>0.68436999999999992</v>
      </c>
      <c r="D111" s="138">
        <v>2.2139000000000002</v>
      </c>
      <c r="E111" s="139">
        <v>0.57455999999999996</v>
      </c>
      <c r="F111" s="136">
        <v>24.547550000000001</v>
      </c>
      <c r="G111" s="140"/>
    </row>
    <row r="112" spans="1:7" s="129" customFormat="1" ht="15.75" x14ac:dyDescent="0.25">
      <c r="A112" s="59" t="s">
        <v>659</v>
      </c>
      <c r="B112" s="151">
        <v>1</v>
      </c>
      <c r="C112" s="138">
        <v>0</v>
      </c>
      <c r="D112" s="138">
        <v>0</v>
      </c>
      <c r="E112" s="139">
        <v>0</v>
      </c>
      <c r="F112" s="136">
        <v>0</v>
      </c>
      <c r="G112" s="140"/>
    </row>
    <row r="113" spans="1:7" s="129" customFormat="1" ht="15.75" x14ac:dyDescent="0.25">
      <c r="A113" s="59" t="s">
        <v>587</v>
      </c>
      <c r="B113" s="151">
        <v>2</v>
      </c>
      <c r="C113" s="138">
        <v>0.37</v>
      </c>
      <c r="D113" s="138">
        <v>0.38400000000000001</v>
      </c>
      <c r="E113" s="139">
        <v>0.69</v>
      </c>
      <c r="F113" s="136">
        <v>7.3</v>
      </c>
      <c r="G113" s="140"/>
    </row>
    <row r="114" spans="1:7" s="129" customFormat="1" ht="15.75" x14ac:dyDescent="0.25">
      <c r="A114" s="59" t="s">
        <v>432</v>
      </c>
      <c r="B114" s="151">
        <v>1</v>
      </c>
      <c r="C114" s="138">
        <v>0.185</v>
      </c>
      <c r="D114" s="138">
        <v>0.192</v>
      </c>
      <c r="E114" s="139">
        <v>0.34499999999999997</v>
      </c>
      <c r="F114" s="136">
        <v>3.65</v>
      </c>
      <c r="G114" s="140"/>
    </row>
    <row r="115" spans="1:7" s="129" customFormat="1" ht="31.5" x14ac:dyDescent="0.25">
      <c r="A115" s="70" t="s">
        <v>664</v>
      </c>
      <c r="B115" s="151"/>
      <c r="C115" s="138"/>
      <c r="D115" s="138"/>
      <c r="E115" s="139"/>
      <c r="F115" s="136"/>
      <c r="G115" s="140"/>
    </row>
    <row r="116" spans="1:7" ht="21.75" customHeight="1" x14ac:dyDescent="0.3">
      <c r="A116" s="154" t="s">
        <v>386</v>
      </c>
    </row>
    <row r="117" spans="1:7" s="129" customFormat="1" ht="15.75" x14ac:dyDescent="0.25">
      <c r="A117" s="130" t="s">
        <v>665</v>
      </c>
      <c r="B117" s="131">
        <v>132</v>
      </c>
      <c r="C117" s="132">
        <f>SUM(C118:C122)</f>
        <v>4.5609000000000002</v>
      </c>
      <c r="D117" s="132">
        <f>SUM(D118:D122)</f>
        <v>19.563999999999993</v>
      </c>
      <c r="E117" s="132">
        <f>SUM(E118:E122)</f>
        <v>16.584699999999998</v>
      </c>
      <c r="F117" s="132">
        <f>SUM(F118:F122)</f>
        <v>260.553</v>
      </c>
      <c r="G117" s="133">
        <f>F117/B117*100</f>
        <v>197.38863636363638</v>
      </c>
    </row>
    <row r="118" spans="1:7" s="129" customFormat="1" ht="15.75" x14ac:dyDescent="0.25">
      <c r="A118" s="59" t="s">
        <v>666</v>
      </c>
      <c r="B118" s="151">
        <v>110</v>
      </c>
      <c r="C118" s="134">
        <v>4.3109000000000002</v>
      </c>
      <c r="D118" s="134">
        <v>19.458999999999996</v>
      </c>
      <c r="E118" s="135">
        <v>14.989700000000001</v>
      </c>
      <c r="F118" s="136">
        <v>251.05300000000003</v>
      </c>
      <c r="G118" s="137"/>
    </row>
    <row r="119" spans="1:7" s="129" customFormat="1" ht="15.75" x14ac:dyDescent="0.25">
      <c r="A119" s="59" t="s">
        <v>667</v>
      </c>
      <c r="B119" s="151">
        <v>15</v>
      </c>
      <c r="C119" s="138">
        <v>0.12</v>
      </c>
      <c r="D119" s="138">
        <v>0.06</v>
      </c>
      <c r="E119" s="139">
        <v>1.125</v>
      </c>
      <c r="F119" s="136">
        <v>6.1499999999999995</v>
      </c>
      <c r="G119" s="140"/>
    </row>
    <row r="120" spans="1:7" s="129" customFormat="1" ht="15.75" x14ac:dyDescent="0.25">
      <c r="A120" s="59" t="s">
        <v>239</v>
      </c>
      <c r="B120" s="153">
        <v>2</v>
      </c>
      <c r="C120" s="138">
        <v>0.08</v>
      </c>
      <c r="D120" s="138">
        <v>0.02</v>
      </c>
      <c r="E120" s="139">
        <v>0.14000000000000001</v>
      </c>
      <c r="F120" s="136">
        <v>1.4</v>
      </c>
      <c r="G120" s="140"/>
    </row>
    <row r="121" spans="1:7" s="129" customFormat="1" ht="15.75" x14ac:dyDescent="0.25">
      <c r="A121" s="59" t="s">
        <v>401</v>
      </c>
      <c r="B121" s="151">
        <v>5</v>
      </c>
      <c r="C121" s="138">
        <v>0.05</v>
      </c>
      <c r="D121" s="138">
        <v>2.5000000000000001E-2</v>
      </c>
      <c r="E121" s="139">
        <v>0.33</v>
      </c>
      <c r="F121" s="136">
        <v>1.9500000000000002</v>
      </c>
      <c r="G121" s="140"/>
    </row>
    <row r="122" spans="1:7" s="129" customFormat="1" ht="31.5" x14ac:dyDescent="0.25">
      <c r="A122" s="70" t="s">
        <v>668</v>
      </c>
      <c r="B122" s="151"/>
      <c r="C122" s="138"/>
      <c r="D122" s="138"/>
      <c r="E122" s="139"/>
      <c r="F122" s="136"/>
      <c r="G122" s="140"/>
    </row>
    <row r="124" spans="1:7" ht="21" customHeight="1" x14ac:dyDescent="0.3">
      <c r="A124" s="154" t="s">
        <v>669</v>
      </c>
    </row>
    <row r="125" spans="1:7" ht="15.75" x14ac:dyDescent="0.25">
      <c r="A125" s="14" t="s">
        <v>118</v>
      </c>
      <c r="B125" s="4">
        <v>338</v>
      </c>
      <c r="C125" s="5">
        <f>SUM(C126:C136)</f>
        <v>5.7169999999999996</v>
      </c>
      <c r="D125" s="5">
        <f>SUM(D126:D136)</f>
        <v>46.476999999999997</v>
      </c>
      <c r="E125" s="5">
        <f>SUM(E126:E136)</f>
        <v>25.727999999999998</v>
      </c>
      <c r="F125" s="5">
        <f>SUM(F126:F136)</f>
        <v>521.07200000000012</v>
      </c>
      <c r="G125" s="15">
        <f>F125/B125*100</f>
        <v>154.16331360946748</v>
      </c>
    </row>
    <row r="126" spans="1:7" ht="15.75" x14ac:dyDescent="0.25">
      <c r="A126" s="59" t="s">
        <v>119</v>
      </c>
      <c r="B126" s="151">
        <v>150</v>
      </c>
      <c r="C126" s="23">
        <v>3</v>
      </c>
      <c r="D126" s="23">
        <v>22.5</v>
      </c>
      <c r="E126" s="23">
        <v>12</v>
      </c>
      <c r="F126" s="23">
        <v>240</v>
      </c>
      <c r="G126" s="18"/>
    </row>
    <row r="127" spans="1:7" ht="15.75" x14ac:dyDescent="0.25">
      <c r="A127" s="59" t="s">
        <v>120</v>
      </c>
      <c r="B127" s="151">
        <v>50</v>
      </c>
      <c r="C127" s="10">
        <v>0.35</v>
      </c>
      <c r="D127" s="10">
        <v>0.15</v>
      </c>
      <c r="E127" s="10">
        <v>3.85</v>
      </c>
      <c r="F127" s="10">
        <v>16.55</v>
      </c>
      <c r="G127" s="20"/>
    </row>
    <row r="128" spans="1:7" ht="15.75" x14ac:dyDescent="0.25">
      <c r="A128" s="59" t="s">
        <v>121</v>
      </c>
      <c r="B128" s="151">
        <v>50</v>
      </c>
      <c r="C128" s="10">
        <v>0.35</v>
      </c>
      <c r="D128" s="10">
        <v>0.15</v>
      </c>
      <c r="E128" s="10">
        <v>3.85</v>
      </c>
      <c r="F128" s="10">
        <v>16.55</v>
      </c>
      <c r="G128" s="20"/>
    </row>
    <row r="129" spans="1:7" ht="15.75" x14ac:dyDescent="0.25">
      <c r="A129" s="59" t="s">
        <v>122</v>
      </c>
      <c r="B129" s="151">
        <v>20</v>
      </c>
      <c r="C129" s="10">
        <v>0.57999999999999996</v>
      </c>
      <c r="D129" s="10">
        <v>0.08</v>
      </c>
      <c r="E129" s="10">
        <v>0.28000000000000003</v>
      </c>
      <c r="F129" s="10">
        <v>4.5999999999999996</v>
      </c>
      <c r="G129" s="20"/>
    </row>
    <row r="130" spans="1:7" ht="15.75" x14ac:dyDescent="0.25">
      <c r="A130" s="59" t="s">
        <v>123</v>
      </c>
      <c r="B130" s="151">
        <v>20</v>
      </c>
      <c r="C130" s="9">
        <v>0.3</v>
      </c>
      <c r="D130" s="9">
        <v>0.04</v>
      </c>
      <c r="E130" s="10">
        <v>0.4</v>
      </c>
      <c r="F130" s="9">
        <v>3.2</v>
      </c>
      <c r="G130" s="20"/>
    </row>
    <row r="131" spans="1:7" ht="15.75" x14ac:dyDescent="0.25">
      <c r="A131" s="59" t="s">
        <v>124</v>
      </c>
      <c r="B131" s="151">
        <v>10</v>
      </c>
      <c r="C131" s="9">
        <v>0.14000000000000001</v>
      </c>
      <c r="D131" s="9">
        <v>0.02</v>
      </c>
      <c r="E131" s="9">
        <v>0.28999999999999998</v>
      </c>
      <c r="F131" s="9">
        <v>1.6</v>
      </c>
      <c r="G131" s="20"/>
    </row>
    <row r="132" spans="1:7" ht="15.75" x14ac:dyDescent="0.25">
      <c r="A132" s="59" t="s">
        <v>125</v>
      </c>
      <c r="B132" s="151">
        <v>5</v>
      </c>
      <c r="C132" s="9">
        <v>0.09</v>
      </c>
      <c r="D132" s="10">
        <v>0.01</v>
      </c>
      <c r="E132" s="9">
        <v>0.185</v>
      </c>
      <c r="F132" s="24">
        <v>0.95</v>
      </c>
      <c r="G132" s="20"/>
    </row>
    <row r="133" spans="1:7" ht="15.75" x14ac:dyDescent="0.25">
      <c r="A133" s="59" t="s">
        <v>126</v>
      </c>
      <c r="B133" s="151">
        <v>30</v>
      </c>
      <c r="C133" s="10">
        <v>0.32700000000000001</v>
      </c>
      <c r="D133" s="10">
        <v>22.353000000000002</v>
      </c>
      <c r="E133" s="10">
        <v>4.6769999999999996</v>
      </c>
      <c r="F133" s="10">
        <v>221.53200000000001</v>
      </c>
      <c r="G133" s="9"/>
    </row>
    <row r="134" spans="1:7" ht="15.75" x14ac:dyDescent="0.25">
      <c r="A134" s="59" t="s">
        <v>127</v>
      </c>
      <c r="B134" s="151">
        <v>1</v>
      </c>
      <c r="C134" s="10">
        <v>0.25</v>
      </c>
      <c r="D134" s="10">
        <v>0.56000000000000005</v>
      </c>
      <c r="E134" s="10">
        <v>4.2000000000000003E-2</v>
      </c>
      <c r="F134" s="10">
        <v>6.37</v>
      </c>
      <c r="G134" s="9"/>
    </row>
    <row r="135" spans="1:7" ht="15.75" x14ac:dyDescent="0.25">
      <c r="A135" s="59" t="s">
        <v>128</v>
      </c>
      <c r="B135" s="151">
        <v>2</v>
      </c>
      <c r="C135" s="13">
        <v>0.33</v>
      </c>
      <c r="D135" s="13">
        <v>0.61399999999999999</v>
      </c>
      <c r="E135" s="13">
        <v>0.154</v>
      </c>
      <c r="F135" s="13">
        <v>9.7200000000000006</v>
      </c>
      <c r="G135" s="13"/>
    </row>
    <row r="136" spans="1:7" ht="15.75" x14ac:dyDescent="0.25">
      <c r="A136" s="59" t="s">
        <v>129</v>
      </c>
      <c r="B136" s="64"/>
      <c r="C136" s="65"/>
      <c r="D136" s="65"/>
      <c r="E136" s="66"/>
      <c r="F136" s="65"/>
      <c r="G136" s="65"/>
    </row>
    <row r="137" spans="1:7" ht="15.75" x14ac:dyDescent="0.25">
      <c r="A137" s="159" t="s">
        <v>691</v>
      </c>
      <c r="B137" s="160">
        <v>213</v>
      </c>
      <c r="C137" s="160">
        <v>5.15</v>
      </c>
      <c r="D137" s="160">
        <v>27.27</v>
      </c>
      <c r="E137" s="160">
        <v>22.92</v>
      </c>
      <c r="F137" s="160">
        <v>358.53</v>
      </c>
      <c r="G137" s="160">
        <v>167.54</v>
      </c>
    </row>
    <row r="138" spans="1:7" ht="15.75" x14ac:dyDescent="0.25">
      <c r="A138" s="156" t="s">
        <v>670</v>
      </c>
      <c r="B138" s="167">
        <v>30</v>
      </c>
      <c r="C138" s="157">
        <v>0.25</v>
      </c>
      <c r="D138" s="157">
        <v>23.97</v>
      </c>
      <c r="E138" s="157">
        <v>2.75</v>
      </c>
      <c r="F138" s="157">
        <v>227.61</v>
      </c>
      <c r="G138" s="158"/>
    </row>
    <row r="139" spans="1:7" ht="15.75" x14ac:dyDescent="0.25">
      <c r="A139" s="156" t="s">
        <v>127</v>
      </c>
      <c r="B139" s="167">
        <v>3</v>
      </c>
      <c r="C139" s="157" t="s">
        <v>671</v>
      </c>
      <c r="D139" s="157">
        <v>1.74</v>
      </c>
      <c r="E139" s="157" t="s">
        <v>672</v>
      </c>
      <c r="F139" s="157" t="s">
        <v>673</v>
      </c>
      <c r="G139" s="158"/>
    </row>
    <row r="140" spans="1:7" ht="15.75" x14ac:dyDescent="0.25">
      <c r="A140" s="156" t="s">
        <v>18</v>
      </c>
      <c r="B140" s="167">
        <v>1</v>
      </c>
      <c r="C140" s="157" t="s">
        <v>674</v>
      </c>
      <c r="D140" s="157" t="s">
        <v>674</v>
      </c>
      <c r="E140" s="157" t="s">
        <v>674</v>
      </c>
      <c r="F140" s="157" t="s">
        <v>674</v>
      </c>
      <c r="G140" s="158"/>
    </row>
    <row r="141" spans="1:7" ht="15.75" x14ac:dyDescent="0.25">
      <c r="A141" s="156" t="s">
        <v>675</v>
      </c>
      <c r="B141" s="167">
        <v>50</v>
      </c>
      <c r="C141" s="157" t="s">
        <v>676</v>
      </c>
      <c r="D141" s="157" t="s">
        <v>676</v>
      </c>
      <c r="E141" s="157">
        <v>4.9000000000000004</v>
      </c>
      <c r="F141" s="157" t="s">
        <v>677</v>
      </c>
      <c r="G141" s="158"/>
    </row>
    <row r="142" spans="1:7" ht="15.75" x14ac:dyDescent="0.25">
      <c r="A142" s="156" t="s">
        <v>678</v>
      </c>
      <c r="B142" s="167">
        <v>50</v>
      </c>
      <c r="C142" s="157" t="s">
        <v>679</v>
      </c>
      <c r="D142" s="157" t="s">
        <v>680</v>
      </c>
      <c r="E142" s="157">
        <v>1.05</v>
      </c>
      <c r="F142" s="157" t="s">
        <v>681</v>
      </c>
      <c r="G142" s="158"/>
    </row>
    <row r="143" spans="1:7" ht="15.75" x14ac:dyDescent="0.25">
      <c r="A143" s="156" t="s">
        <v>682</v>
      </c>
      <c r="B143" s="167">
        <v>20</v>
      </c>
      <c r="C143" s="157" t="s">
        <v>683</v>
      </c>
      <c r="D143" s="157" t="s">
        <v>684</v>
      </c>
      <c r="E143" s="157" t="s">
        <v>685</v>
      </c>
      <c r="F143" s="157">
        <v>4.4000000000000004</v>
      </c>
      <c r="G143" s="158"/>
    </row>
    <row r="144" spans="1:7" ht="15.75" x14ac:dyDescent="0.25">
      <c r="A144" s="156" t="s">
        <v>686</v>
      </c>
      <c r="B144" s="167">
        <v>60</v>
      </c>
      <c r="C144" s="157">
        <v>2.86</v>
      </c>
      <c r="D144" s="157">
        <v>1.22</v>
      </c>
      <c r="E144" s="157">
        <v>13.04</v>
      </c>
      <c r="F144" s="157" t="s">
        <v>687</v>
      </c>
      <c r="G144" s="158"/>
    </row>
    <row r="145" spans="1:7" ht="15.75" x14ac:dyDescent="0.25">
      <c r="A145" s="156" t="s">
        <v>17</v>
      </c>
      <c r="B145" s="167">
        <v>1</v>
      </c>
      <c r="C145" s="157" t="s">
        <v>688</v>
      </c>
      <c r="D145" s="157" t="s">
        <v>689</v>
      </c>
      <c r="E145" s="157" t="s">
        <v>690</v>
      </c>
      <c r="F145" s="157">
        <v>2.52</v>
      </c>
      <c r="G145" s="158"/>
    </row>
    <row r="146" spans="1:7" s="161" customFormat="1" ht="15.75" customHeight="1" x14ac:dyDescent="0.25">
      <c r="A146" s="165" t="s">
        <v>692</v>
      </c>
      <c r="B146" s="166">
        <v>440</v>
      </c>
      <c r="C146" s="166">
        <v>5.0999999999999996</v>
      </c>
      <c r="D146" s="166">
        <v>16.34</v>
      </c>
      <c r="E146" s="166">
        <v>34.479999999999997</v>
      </c>
      <c r="F146" s="166">
        <v>308.17</v>
      </c>
      <c r="G146" s="166">
        <v>69.72</v>
      </c>
    </row>
    <row r="147" spans="1:7" s="161" customFormat="1" ht="15.75" customHeight="1" x14ac:dyDescent="0.25">
      <c r="A147" s="162" t="s">
        <v>173</v>
      </c>
      <c r="B147" s="168">
        <v>2</v>
      </c>
      <c r="C147" s="163" t="s">
        <v>674</v>
      </c>
      <c r="D147" s="163" t="s">
        <v>693</v>
      </c>
      <c r="E147" s="163" t="s">
        <v>674</v>
      </c>
      <c r="F147" s="163">
        <v>8.98</v>
      </c>
      <c r="G147" s="164"/>
    </row>
    <row r="148" spans="1:7" s="161" customFormat="1" ht="15.75" customHeight="1" x14ac:dyDescent="0.25">
      <c r="A148" s="162" t="s">
        <v>17</v>
      </c>
      <c r="B148" s="168">
        <v>1</v>
      </c>
      <c r="C148" s="163" t="s">
        <v>688</v>
      </c>
      <c r="D148" s="163" t="s">
        <v>689</v>
      </c>
      <c r="E148" s="163" t="s">
        <v>690</v>
      </c>
      <c r="F148" s="163">
        <v>2.52</v>
      </c>
      <c r="G148" s="164"/>
    </row>
    <row r="149" spans="1:7" s="161" customFormat="1" ht="15.75" customHeight="1" x14ac:dyDescent="0.25">
      <c r="A149" s="162" t="s">
        <v>18</v>
      </c>
      <c r="B149" s="168">
        <v>1</v>
      </c>
      <c r="C149" s="163" t="s">
        <v>674</v>
      </c>
      <c r="D149" s="163" t="s">
        <v>674</v>
      </c>
      <c r="E149" s="163" t="s">
        <v>674</v>
      </c>
      <c r="F149" s="163" t="s">
        <v>674</v>
      </c>
      <c r="G149" s="164"/>
    </row>
    <row r="150" spans="1:7" s="161" customFormat="1" ht="15.75" customHeight="1" x14ac:dyDescent="0.25">
      <c r="A150" s="162" t="s">
        <v>694</v>
      </c>
      <c r="B150" s="168">
        <v>40</v>
      </c>
      <c r="C150" s="163">
        <v>2.81</v>
      </c>
      <c r="D150" s="163">
        <v>2.88</v>
      </c>
      <c r="E150" s="163" t="s">
        <v>695</v>
      </c>
      <c r="F150" s="163">
        <v>121.05</v>
      </c>
      <c r="G150" s="164"/>
    </row>
    <row r="151" spans="1:7" s="161" customFormat="1" ht="15.75" customHeight="1" x14ac:dyDescent="0.25">
      <c r="A151" s="162" t="s">
        <v>696</v>
      </c>
      <c r="B151" s="168">
        <v>50</v>
      </c>
      <c r="C151" s="163" t="s">
        <v>674</v>
      </c>
      <c r="D151" s="163" t="s">
        <v>674</v>
      </c>
      <c r="E151" s="163" t="s">
        <v>674</v>
      </c>
      <c r="F151" s="163" t="s">
        <v>674</v>
      </c>
      <c r="G151" s="164"/>
    </row>
    <row r="152" spans="1:7" s="161" customFormat="1" ht="15.75" customHeight="1" x14ac:dyDescent="0.25">
      <c r="A152" s="162" t="s">
        <v>697</v>
      </c>
      <c r="B152" s="168">
        <v>350</v>
      </c>
      <c r="C152" s="163">
        <v>2.14</v>
      </c>
      <c r="D152" s="163">
        <v>12.43</v>
      </c>
      <c r="E152" s="163">
        <v>14.06</v>
      </c>
      <c r="F152" s="163">
        <v>175.62</v>
      </c>
      <c r="G152" s="164"/>
    </row>
    <row r="153" spans="1:7" s="161" customFormat="1" ht="15.75" customHeight="1" x14ac:dyDescent="0.25">
      <c r="A153" s="165" t="s">
        <v>698</v>
      </c>
      <c r="B153" s="166">
        <v>246</v>
      </c>
      <c r="C153" s="169">
        <f>C154+C155+C156+C157+C159+C161+C162+C164+C165+C166</f>
        <v>3.95</v>
      </c>
      <c r="D153" s="169">
        <f>D154+D155+D156+D157+D158+D159+D160+D161+D162+D163+D164+D165+D166</f>
        <v>5.4299999999999988</v>
      </c>
      <c r="E153" s="169">
        <f>E154+E155+E156+E157+E158+E159+E160+E161+E162+E163+E164+E165+E166</f>
        <v>46.114999999999995</v>
      </c>
      <c r="F153" s="169">
        <f>F154+F155+F156+F157+F158+F159+F160+F161+F162+F163+F164+F165+F166</f>
        <v>295.53999999999996</v>
      </c>
      <c r="G153" s="169">
        <f>F153/B153*100</f>
        <v>120.13821138211381</v>
      </c>
    </row>
    <row r="154" spans="1:7" s="161" customFormat="1" ht="15.75" customHeight="1" x14ac:dyDescent="0.25">
      <c r="A154" s="162" t="s">
        <v>699</v>
      </c>
      <c r="B154" s="168">
        <v>20</v>
      </c>
      <c r="C154" s="163">
        <v>0</v>
      </c>
      <c r="D154" s="163">
        <v>1.8</v>
      </c>
      <c r="E154" s="163">
        <v>8</v>
      </c>
      <c r="F154" s="163">
        <v>48.2</v>
      </c>
      <c r="G154" s="164"/>
    </row>
    <row r="155" spans="1:7" s="161" customFormat="1" ht="15.75" customHeight="1" x14ac:dyDescent="0.25">
      <c r="A155" s="162" t="s">
        <v>475</v>
      </c>
      <c r="B155" s="168">
        <v>20</v>
      </c>
      <c r="C155" s="163">
        <v>0.04</v>
      </c>
      <c r="D155" s="163">
        <v>0.06</v>
      </c>
      <c r="E155" s="163">
        <v>2.5</v>
      </c>
      <c r="F155" s="163">
        <v>10.199999999999999</v>
      </c>
      <c r="G155" s="164"/>
    </row>
    <row r="156" spans="1:7" s="161" customFormat="1" ht="15.75" customHeight="1" x14ac:dyDescent="0.25">
      <c r="A156" s="162" t="s">
        <v>251</v>
      </c>
      <c r="B156" s="168">
        <v>20</v>
      </c>
      <c r="C156" s="163">
        <v>0.19</v>
      </c>
      <c r="D156" s="163">
        <v>0.49</v>
      </c>
      <c r="E156" s="163">
        <v>0.12</v>
      </c>
      <c r="F156" s="163">
        <v>5.65</v>
      </c>
      <c r="G156" s="164"/>
    </row>
    <row r="157" spans="1:7" s="161" customFormat="1" ht="15.75" customHeight="1" x14ac:dyDescent="0.25">
      <c r="A157" s="162" t="s">
        <v>463</v>
      </c>
      <c r="B157" s="168">
        <v>2</v>
      </c>
      <c r="C157" s="163">
        <v>0.03</v>
      </c>
      <c r="D157" s="163">
        <v>0.01</v>
      </c>
      <c r="E157" s="163">
        <v>0.68</v>
      </c>
      <c r="F157" s="163">
        <v>2.8</v>
      </c>
      <c r="G157" s="164"/>
    </row>
    <row r="158" spans="1:7" s="161" customFormat="1" ht="15.75" customHeight="1" x14ac:dyDescent="0.25">
      <c r="A158" s="162" t="s">
        <v>68</v>
      </c>
      <c r="B158" s="168">
        <v>10</v>
      </c>
      <c r="C158" s="163">
        <v>0.18</v>
      </c>
      <c r="D158" s="163">
        <v>0.11</v>
      </c>
      <c r="E158" s="163">
        <v>0.27</v>
      </c>
      <c r="F158" s="163">
        <v>1.7</v>
      </c>
      <c r="G158" s="164"/>
    </row>
    <row r="159" spans="1:7" s="161" customFormat="1" ht="15.75" customHeight="1" x14ac:dyDescent="0.25">
      <c r="A159" s="162" t="s">
        <v>700</v>
      </c>
      <c r="B159" s="168">
        <v>10</v>
      </c>
      <c r="C159" s="163">
        <v>0.08</v>
      </c>
      <c r="D159" s="163">
        <v>0.01</v>
      </c>
      <c r="E159" s="163">
        <v>0.28000000000000003</v>
      </c>
      <c r="F159" s="163">
        <v>1.5</v>
      </c>
      <c r="G159" s="164"/>
    </row>
    <row r="160" spans="1:7" s="161" customFormat="1" ht="15.75" customHeight="1" x14ac:dyDescent="0.25">
      <c r="A160" s="162" t="s">
        <v>701</v>
      </c>
      <c r="B160" s="168">
        <v>12</v>
      </c>
      <c r="C160" s="163">
        <v>0.16</v>
      </c>
      <c r="D160" s="163">
        <v>0</v>
      </c>
      <c r="E160" s="163">
        <v>0.64</v>
      </c>
      <c r="F160" s="163">
        <v>3.24</v>
      </c>
      <c r="G160" s="164"/>
    </row>
    <row r="161" spans="1:7" s="161" customFormat="1" ht="15.75" customHeight="1" x14ac:dyDescent="0.25">
      <c r="A161" s="162" t="s">
        <v>471</v>
      </c>
      <c r="B161" s="168">
        <v>12</v>
      </c>
      <c r="C161" s="163">
        <v>0.24</v>
      </c>
      <c r="D161" s="163">
        <v>2.4</v>
      </c>
      <c r="E161" s="163">
        <v>0.72</v>
      </c>
      <c r="F161" s="163">
        <v>25.44</v>
      </c>
      <c r="G161" s="164"/>
    </row>
    <row r="162" spans="1:7" s="161" customFormat="1" ht="15.75" customHeight="1" x14ac:dyDescent="0.25">
      <c r="A162" s="162" t="s">
        <v>702</v>
      </c>
      <c r="B162" s="168">
        <v>15</v>
      </c>
      <c r="C162" s="163">
        <v>0.67</v>
      </c>
      <c r="D162" s="163">
        <v>0.1</v>
      </c>
      <c r="E162" s="163">
        <v>1.84</v>
      </c>
      <c r="F162" s="163">
        <v>10.95</v>
      </c>
      <c r="G162" s="164"/>
    </row>
    <row r="163" spans="1:7" s="161" customFormat="1" ht="15.75" customHeight="1" x14ac:dyDescent="0.25">
      <c r="A163" s="162" t="s">
        <v>432</v>
      </c>
      <c r="B163" s="168">
        <v>1</v>
      </c>
      <c r="C163" s="163">
        <v>0.46</v>
      </c>
      <c r="D163" s="163">
        <v>0</v>
      </c>
      <c r="E163" s="163">
        <v>0.41</v>
      </c>
      <c r="F163" s="163">
        <v>3.49</v>
      </c>
      <c r="G163" s="164"/>
    </row>
    <row r="164" spans="1:7" s="161" customFormat="1" ht="15.75" customHeight="1" x14ac:dyDescent="0.25">
      <c r="A164" s="162" t="s">
        <v>703</v>
      </c>
      <c r="B164" s="168">
        <v>90</v>
      </c>
      <c r="C164" s="163">
        <v>1.98</v>
      </c>
      <c r="D164" s="163">
        <v>0.45</v>
      </c>
      <c r="E164" s="163">
        <v>22.41</v>
      </c>
      <c r="F164" s="163">
        <v>104.4</v>
      </c>
      <c r="G164" s="164"/>
    </row>
    <row r="165" spans="1:7" s="129" customFormat="1" ht="15.75" x14ac:dyDescent="0.25">
      <c r="A165" s="59" t="s">
        <v>355</v>
      </c>
      <c r="B165" s="168">
        <v>50</v>
      </c>
      <c r="C165" s="138">
        <v>0.72</v>
      </c>
      <c r="D165" s="138">
        <v>0</v>
      </c>
      <c r="E165" s="139">
        <v>8.2449999999999992</v>
      </c>
      <c r="F165" s="136">
        <v>77.97</v>
      </c>
      <c r="G165" s="140"/>
    </row>
    <row r="166" spans="1:7" s="129" customFormat="1" ht="15.75" x14ac:dyDescent="0.25">
      <c r="A166" s="59" t="s">
        <v>659</v>
      </c>
      <c r="B166" s="168">
        <v>2</v>
      </c>
      <c r="C166" s="138">
        <v>0</v>
      </c>
      <c r="D166" s="138">
        <v>0</v>
      </c>
      <c r="E166" s="139">
        <v>0</v>
      </c>
      <c r="F166" s="136">
        <v>0</v>
      </c>
      <c r="G166" s="140"/>
    </row>
    <row r="167" spans="1:7" ht="15.75" x14ac:dyDescent="0.25">
      <c r="A167" s="3" t="s">
        <v>349</v>
      </c>
      <c r="B167" s="4">
        <v>165</v>
      </c>
      <c r="C167" s="5">
        <f>SUM(C168:C175)</f>
        <v>6.1349999999999998</v>
      </c>
      <c r="D167" s="5">
        <f>SUM(D168:D175)</f>
        <v>3.5069999999999997</v>
      </c>
      <c r="E167" s="5">
        <f>SUM(E168:E175)</f>
        <v>33.119999999999997</v>
      </c>
      <c r="F167" s="5">
        <f>SUM(F168:F175)</f>
        <v>184.69</v>
      </c>
      <c r="G167" s="5">
        <f>F167/B167*100</f>
        <v>111.93333333333332</v>
      </c>
    </row>
    <row r="168" spans="1:7" ht="15.75" x14ac:dyDescent="0.25">
      <c r="A168" s="59" t="s">
        <v>350</v>
      </c>
      <c r="B168" s="151">
        <v>140</v>
      </c>
      <c r="C168" s="17">
        <v>5.6</v>
      </c>
      <c r="D168" s="17">
        <v>0.42</v>
      </c>
      <c r="E168" s="17">
        <v>29.82</v>
      </c>
      <c r="F168" s="17">
        <v>141.4</v>
      </c>
      <c r="G168" s="18"/>
    </row>
    <row r="169" spans="1:7" ht="15.75" x14ac:dyDescent="0.25">
      <c r="A169" s="59" t="s">
        <v>351</v>
      </c>
      <c r="B169" s="151">
        <v>5</v>
      </c>
      <c r="C169" s="10">
        <v>0.13</v>
      </c>
      <c r="D169" s="10">
        <v>0.01</v>
      </c>
      <c r="E169" s="10">
        <v>0.53</v>
      </c>
      <c r="F169" s="10">
        <v>2.6</v>
      </c>
      <c r="G169" s="20"/>
    </row>
    <row r="170" spans="1:7" ht="15.75" x14ac:dyDescent="0.25">
      <c r="A170" s="59" t="s">
        <v>352</v>
      </c>
      <c r="B170" s="151">
        <v>5</v>
      </c>
      <c r="C170" s="10">
        <v>7.0000000000000007E-2</v>
      </c>
      <c r="D170" s="10">
        <v>0.03</v>
      </c>
      <c r="E170" s="10">
        <v>0.77</v>
      </c>
      <c r="F170" s="10">
        <v>3.31</v>
      </c>
      <c r="G170" s="20"/>
    </row>
    <row r="171" spans="1:7" ht="15.75" x14ac:dyDescent="0.25">
      <c r="A171" s="59" t="s">
        <v>353</v>
      </c>
      <c r="B171" s="151">
        <v>5</v>
      </c>
      <c r="C171" s="10">
        <v>7.0000000000000007E-2</v>
      </c>
      <c r="D171" s="10">
        <v>0.03</v>
      </c>
      <c r="E171" s="10">
        <v>0.77</v>
      </c>
      <c r="F171" s="10">
        <v>3.31</v>
      </c>
      <c r="G171" s="20"/>
    </row>
    <row r="172" spans="1:7" ht="15.75" x14ac:dyDescent="0.25">
      <c r="A172" s="59" t="s">
        <v>354</v>
      </c>
      <c r="B172" s="151">
        <v>5</v>
      </c>
      <c r="C172" s="10">
        <v>0.09</v>
      </c>
      <c r="D172" s="10">
        <v>0.02</v>
      </c>
      <c r="E172" s="10">
        <v>0.68</v>
      </c>
      <c r="F172" s="10">
        <v>4.0999999999999996</v>
      </c>
      <c r="G172" s="20"/>
    </row>
    <row r="173" spans="1:7" ht="15.75" x14ac:dyDescent="0.25">
      <c r="A173" s="59" t="s">
        <v>23</v>
      </c>
      <c r="B173" s="151">
        <v>3</v>
      </c>
      <c r="C173" s="10">
        <v>0</v>
      </c>
      <c r="D173" s="10">
        <v>2.9969999999999999</v>
      </c>
      <c r="E173" s="10">
        <v>0</v>
      </c>
      <c r="F173" s="10">
        <v>26.97</v>
      </c>
      <c r="G173" s="20"/>
    </row>
    <row r="174" spans="1:7" ht="15.75" x14ac:dyDescent="0.25">
      <c r="A174" s="59" t="s">
        <v>355</v>
      </c>
      <c r="B174" s="151">
        <v>5</v>
      </c>
      <c r="C174" s="10">
        <v>0.17499999999999999</v>
      </c>
      <c r="D174" s="10">
        <v>0</v>
      </c>
      <c r="E174" s="10">
        <v>0.55000000000000004</v>
      </c>
      <c r="F174" s="10">
        <v>3</v>
      </c>
      <c r="G174" s="18"/>
    </row>
    <row r="175" spans="1:7" ht="15.75" x14ac:dyDescent="0.25">
      <c r="A175" s="59" t="s">
        <v>18</v>
      </c>
      <c r="B175" s="151">
        <v>3</v>
      </c>
      <c r="C175" s="17">
        <v>0</v>
      </c>
      <c r="D175" s="17">
        <v>0</v>
      </c>
      <c r="E175" s="17">
        <v>0</v>
      </c>
      <c r="F175" s="17">
        <v>0</v>
      </c>
      <c r="G175" s="20"/>
    </row>
    <row r="176" spans="1:7" s="161" customFormat="1" ht="15.75" customHeight="1" x14ac:dyDescent="0.25">
      <c r="A176" s="165" t="s">
        <v>704</v>
      </c>
      <c r="B176" s="166">
        <v>230</v>
      </c>
      <c r="C176" s="166">
        <f>C177+C178+C179+C180</f>
        <v>5.03</v>
      </c>
      <c r="D176" s="166">
        <f>D177+D178+D179+D180</f>
        <v>15.25</v>
      </c>
      <c r="E176" s="166">
        <f>E177+E178+E179+E180</f>
        <v>9.6999999999999993</v>
      </c>
      <c r="F176" s="166">
        <f>F177+F178+F179+F180</f>
        <v>189.8</v>
      </c>
      <c r="G176" s="169">
        <f>F176/B176*100</f>
        <v>82.521739130434796</v>
      </c>
    </row>
    <row r="177" spans="1:7" s="161" customFormat="1" ht="15.75" customHeight="1" x14ac:dyDescent="0.25">
      <c r="A177" s="162" t="s">
        <v>705</v>
      </c>
      <c r="B177" s="170">
        <v>1</v>
      </c>
      <c r="C177" s="163">
        <v>0</v>
      </c>
      <c r="D177" s="163">
        <v>0</v>
      </c>
      <c r="E177" s="163">
        <v>0</v>
      </c>
      <c r="F177" s="163">
        <v>0</v>
      </c>
      <c r="G177" s="164"/>
    </row>
    <row r="178" spans="1:7" s="161" customFormat="1" ht="15.75" customHeight="1" x14ac:dyDescent="0.25">
      <c r="A178" s="162" t="s">
        <v>706</v>
      </c>
      <c r="B178" s="170">
        <v>80</v>
      </c>
      <c r="C178" s="163">
        <v>1.28</v>
      </c>
      <c r="D178" s="163">
        <v>14.8</v>
      </c>
      <c r="E178" s="163">
        <v>1.6</v>
      </c>
      <c r="F178" s="163">
        <v>144.80000000000001</v>
      </c>
      <c r="G178" s="164"/>
    </row>
    <row r="179" spans="1:7" s="161" customFormat="1" ht="15.75" customHeight="1" x14ac:dyDescent="0.25">
      <c r="A179" s="162" t="s">
        <v>18</v>
      </c>
      <c r="B179" s="168">
        <v>12</v>
      </c>
      <c r="C179" s="163">
        <v>0</v>
      </c>
      <c r="D179" s="163">
        <v>0</v>
      </c>
      <c r="E179" s="163">
        <v>0</v>
      </c>
      <c r="F179" s="163">
        <v>0</v>
      </c>
      <c r="G179" s="164"/>
    </row>
    <row r="180" spans="1:7" s="161" customFormat="1" ht="15.75" customHeight="1" x14ac:dyDescent="0.25">
      <c r="A180" s="162" t="s">
        <v>707</v>
      </c>
      <c r="B180" s="168">
        <v>150</v>
      </c>
      <c r="C180" s="163">
        <v>3.75</v>
      </c>
      <c r="D180" s="163">
        <v>0.45</v>
      </c>
      <c r="E180" s="163">
        <v>8.1</v>
      </c>
      <c r="F180" s="163">
        <v>45</v>
      </c>
      <c r="G180" s="16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Меню</vt:lpstr>
      <vt:lpstr>ПП</vt:lpstr>
      <vt:lpstr>Сезон весна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Настя</dc:creator>
  <cp:lastModifiedBy>Настя</cp:lastModifiedBy>
  <dcterms:created xsi:type="dcterms:W3CDTF">2025-05-23T08:20:30Z</dcterms:created>
  <dcterms:modified xsi:type="dcterms:W3CDTF">2026-02-27T12:17:35Z</dcterms:modified>
</cp:coreProperties>
</file>